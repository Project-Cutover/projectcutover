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comments/comment1.xml" ContentType="application/vnd.openxmlformats-officedocument.spreadsheetml.comments+xml"/>
  <Override PartName="/xl/worksheets/sheet4.xml" ContentType="application/vnd.openxmlformats-officedocument.spreadsheetml.worksheet+xml"/>
  <Override PartName="/xl/drawings/drawing4.xml" ContentType="application/vnd.openxmlformats-officedocument.drawing+xml"/>
  <Override PartName="/xl/comments/comment2.xml" ContentType="application/vnd.openxmlformats-officedocument.spreadsheetml.comments+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ortfolio" sheetId="2" state="visible" r:id="rId2"/>
    <sheet xmlns:r="http://schemas.openxmlformats.org/officeDocument/2006/relationships" name="Register" sheetId="3" state="visible" r:id="rId3"/>
    <sheet xmlns:r="http://schemas.openxmlformats.org/officeDocument/2006/relationships" name="Funding" sheetId="4" state="visible" r:id="rId4"/>
    <sheet xmlns:r="http://schemas.openxmlformats.org/officeDocument/2006/relationships" name="Steering" sheetId="5" state="visible" r:id="rId5"/>
    <sheet xmlns:r="http://schemas.openxmlformats.org/officeDocument/2006/relationships" name="Checks" sheetId="6" state="visible" r:id="rId6"/>
  </sheets>
  <definedNames>
    <definedName name="_xlnm._FilterDatabase" localSheetId="2" hidden="1">'Register'!$A$5:$AF$305</definedName>
    <definedName name="_xlnm.Print_Titles" localSheetId="2">'Register'!$5:$5</definedName>
  </definedNames>
  <calcPr calcId="124519" fullCalcOnLoad="1"/>
</workbook>
</file>

<file path=xl/styles.xml><?xml version="1.0" encoding="utf-8"?>
<styleSheet xmlns="http://schemas.openxmlformats.org/spreadsheetml/2006/main">
  <numFmts count="2">
    <numFmt numFmtId="164" formatCode="yyyy-mm-dd"/>
    <numFmt numFmtId="165" formatCode="d mmm yyyy"/>
  </numFmts>
  <fonts count="9">
    <font>
      <name val="Calibri"/>
      <family val="2"/>
      <color theme="1"/>
      <sz val="11"/>
      <scheme val="minor"/>
    </font>
    <font>
      <name val="Arial"/>
      <sz val="10"/>
    </font>
    <font>
      <name val="Arial"/>
      <b val="1"/>
      <color rgb="000F1115"/>
      <sz val="14"/>
    </font>
    <font>
      <name val="Arial"/>
      <color rgb="000F1115"/>
      <sz val="10"/>
    </font>
    <font>
      <name val="Arial"/>
      <b val="1"/>
      <color rgb="000F1115"/>
      <sz val="10"/>
    </font>
    <font>
      <name val="Arial"/>
      <color rgb="005F6670"/>
      <sz val="9"/>
    </font>
    <font>
      <name val="Arial"/>
      <b val="1"/>
      <color rgb="000F1115"/>
      <sz val="9"/>
    </font>
    <font>
      <name val="Arial"/>
      <b val="1"/>
      <i val="1"/>
      <color rgb="000F1115"/>
      <sz val="10"/>
    </font>
    <font>
      <name val="Arial"/>
      <color rgb="005F6670"/>
      <sz val="10"/>
    </font>
  </fonts>
  <fills count="5">
    <fill>
      <patternFill/>
    </fill>
    <fill>
      <patternFill patternType="gray125"/>
    </fill>
    <fill>
      <patternFill patternType="solid">
        <fgColor rgb="00ECEEF0"/>
        <bgColor rgb="00ECEEF0"/>
      </patternFill>
    </fill>
    <fill>
      <patternFill patternType="solid">
        <fgColor rgb="00FFFFFF"/>
        <bgColor rgb="00FFFFFF"/>
      </patternFill>
    </fill>
    <fill>
      <patternFill patternType="solid">
        <fgColor rgb="00F4F5F6"/>
        <bgColor rgb="00F4F5F6"/>
      </patternFill>
    </fill>
  </fills>
  <borders count="3">
    <border>
      <left/>
      <right/>
      <top/>
      <bottom/>
      <diagonal/>
    </border>
    <border>
      <left style="thin">
        <color rgb="00E3E5E8"/>
      </left>
      <right style="thin">
        <color rgb="00E3E5E8"/>
      </right>
      <top style="thin">
        <color rgb="00E3E5E8"/>
      </top>
      <bottom style="thin">
        <color rgb="00E3E5E8"/>
      </bottom>
    </border>
    <border>
      <bottom style="medium">
        <color rgb="000F1115"/>
      </bottom>
    </border>
  </borders>
  <cellStyleXfs count="1">
    <xf numFmtId="0" fontId="1" fillId="0" borderId="0"/>
  </cellStyleXfs>
  <cellXfs count="39">
    <xf numFmtId="0" fontId="0" fillId="0" borderId="0" pivotButton="0" quotePrefix="0" xfId="0"/>
    <xf numFmtId="0" fontId="2"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2" borderId="0" applyAlignment="1" pivotButton="0" quotePrefix="0" xfId="0">
      <alignment vertical="center"/>
    </xf>
    <xf numFmtId="0" fontId="4" fillId="2" borderId="0" pivotButton="0" quotePrefix="0" xfId="0"/>
    <xf numFmtId="0" fontId="4" fillId="0" borderId="0" applyAlignment="1" pivotButton="0" quotePrefix="0" xfId="0">
      <alignment vertical="top" wrapText="1"/>
    </xf>
    <xf numFmtId="0" fontId="5" fillId="0" borderId="0" applyAlignment="1" pivotButton="0" quotePrefix="0" xfId="0">
      <alignment horizontal="left" vertical="top" wrapText="1"/>
    </xf>
    <xf numFmtId="0" fontId="3" fillId="0" borderId="0" applyAlignment="1" pivotButton="0" quotePrefix="0" xfId="0">
      <alignment vertical="top" wrapText="1"/>
    </xf>
    <xf numFmtId="0" fontId="6" fillId="0" borderId="0" applyAlignment="1" pivotButton="0" quotePrefix="0" xfId="0">
      <alignment vertical="top" wrapText="1"/>
    </xf>
    <xf numFmtId="0" fontId="4" fillId="0" borderId="0" applyAlignment="1" pivotButton="0" quotePrefix="0" xfId="0">
      <alignment horizontal="left" vertical="top" wrapText="1"/>
    </xf>
    <xf numFmtId="0" fontId="6" fillId="2" borderId="0" applyAlignment="1" pivotButton="0" quotePrefix="0" xfId="0">
      <alignment vertical="center"/>
    </xf>
    <xf numFmtId="0" fontId="4" fillId="2" borderId="0" applyAlignment="1" pivotButton="0" quotePrefix="0" xfId="0">
      <alignment vertical="center"/>
    </xf>
    <xf numFmtId="0" fontId="5" fillId="0" borderId="0" applyAlignment="1" pivotButton="0" quotePrefix="0" xfId="0">
      <alignment vertical="center" wrapText="1"/>
    </xf>
    <xf numFmtId="0" fontId="3" fillId="3" borderId="1" applyAlignment="1" pivotButton="0" quotePrefix="0" xfId="0">
      <alignment horizontal="left" vertical="center"/>
    </xf>
    <xf numFmtId="165" fontId="3" fillId="3" borderId="1" applyAlignment="1" pivotButton="0" quotePrefix="0" xfId="0">
      <alignment horizontal="left" vertical="center"/>
    </xf>
    <xf numFmtId="165" fontId="3" fillId="4" borderId="1" applyAlignment="1" pivotButton="0" quotePrefix="0" xfId="0">
      <alignment horizontal="left" vertical="center"/>
    </xf>
    <xf numFmtId="0" fontId="3" fillId="4" borderId="1" applyAlignment="1" pivotButton="0" quotePrefix="0" xfId="0">
      <alignment horizontal="left" vertical="center"/>
    </xf>
    <xf numFmtId="0" fontId="5" fillId="2" borderId="0" applyAlignment="1" pivotButton="0" quotePrefix="0" xfId="0">
      <alignment vertical="center" wrapText="1"/>
    </xf>
    <xf numFmtId="0" fontId="3" fillId="0" borderId="0" applyAlignment="1" pivotButton="0" quotePrefix="0" xfId="0">
      <alignment vertical="center" wrapText="1"/>
    </xf>
    <xf numFmtId="1" fontId="3" fillId="4" borderId="1" applyAlignment="1" pivotButton="0" quotePrefix="0" xfId="0">
      <alignment horizontal="right" vertical="center"/>
    </xf>
    <xf numFmtId="0" fontId="4" fillId="3" borderId="2" applyAlignment="1" pivotButton="0" quotePrefix="0" xfId="0">
      <alignment vertical="center" wrapText="1"/>
    </xf>
    <xf numFmtId="0" fontId="7" fillId="4" borderId="2" applyAlignment="1" pivotButton="0" quotePrefix="0" xfId="0">
      <alignment vertical="center" wrapText="1"/>
    </xf>
    <xf numFmtId="0" fontId="3" fillId="3" borderId="1" applyAlignment="1" pivotButton="0" quotePrefix="0" xfId="0">
      <alignment vertical="center" wrapText="1"/>
    </xf>
    <xf numFmtId="165" fontId="3" fillId="3" borderId="1" applyAlignment="1" pivotButton="0" quotePrefix="0" xfId="0">
      <alignment horizontal="right" vertical="center"/>
    </xf>
    <xf numFmtId="0" fontId="3" fillId="3" borderId="1" applyAlignment="1" pivotButton="0" quotePrefix="0" xfId="0">
      <alignment vertical="center"/>
    </xf>
    <xf numFmtId="165" fontId="3" fillId="3" borderId="1" applyAlignment="1" pivotButton="0" quotePrefix="0" xfId="0">
      <alignment vertical="center"/>
    </xf>
    <xf numFmtId="3" fontId="3" fillId="3" borderId="1" applyAlignment="1" pivotButton="0" quotePrefix="0" xfId="0">
      <alignment horizontal="right" vertical="center"/>
    </xf>
    <xf numFmtId="0" fontId="3" fillId="4" borderId="1" applyAlignment="1" pivotButton="0" quotePrefix="0" xfId="0">
      <alignment vertical="center"/>
    </xf>
    <xf numFmtId="0" fontId="3" fillId="4" borderId="1" applyAlignment="1" pivotButton="0" quotePrefix="0" xfId="0">
      <alignment horizontal="right" vertical="center"/>
    </xf>
    <xf numFmtId="165" fontId="3" fillId="4" borderId="1" applyAlignment="1" pivotButton="0" quotePrefix="0" xfId="0">
      <alignment vertical="center"/>
    </xf>
    <xf numFmtId="0" fontId="5" fillId="0" borderId="0" applyAlignment="1" pivotButton="0" quotePrefix="0" xfId="0">
      <alignment vertical="center"/>
    </xf>
    <xf numFmtId="3" fontId="3" fillId="4" borderId="1" applyAlignment="1" pivotButton="0" quotePrefix="0" xfId="0">
      <alignment horizontal="right" vertical="center"/>
    </xf>
    <xf numFmtId="0" fontId="4" fillId="0" borderId="0" applyAlignment="1" pivotButton="0" quotePrefix="0" xfId="0">
      <alignment vertical="center"/>
    </xf>
    <xf numFmtId="1" fontId="3" fillId="3" borderId="1" applyAlignment="1" pivotButton="0" quotePrefix="0" xfId="0">
      <alignment horizontal="right" vertical="center"/>
    </xf>
    <xf numFmtId="9" fontId="3" fillId="3" borderId="1" applyAlignment="1" pivotButton="0" quotePrefix="0" xfId="0">
      <alignment horizontal="right" vertical="center"/>
    </xf>
    <xf numFmtId="0" fontId="6" fillId="0" borderId="0" applyAlignment="1" pivotButton="0" quotePrefix="0" xfId="0">
      <alignment vertical="center" wrapText="1"/>
    </xf>
    <xf numFmtId="0" fontId="4" fillId="4" borderId="1" applyAlignment="1" pivotButton="0" quotePrefix="0" xfId="0">
      <alignment vertical="center"/>
    </xf>
    <xf numFmtId="0" fontId="8" fillId="0" borderId="0" applyAlignment="1" pivotButton="0" quotePrefix="0" xfId="0">
      <alignment vertical="center"/>
    </xf>
  </cellXfs>
  <cellStyles count="1">
    <cellStyle name="Normal" xfId="0" builtinId="0" hidden="0"/>
  </cellStyles>
  <dxfs count="4">
    <dxf>
      <border>
        <left style="thin">
          <color rgb="000F1115"/>
        </left>
        <right style="thin">
          <color rgb="000F1115"/>
        </right>
        <top style="thin">
          <color rgb="000F1115"/>
        </top>
        <bottom style="thin">
          <color rgb="000F1115"/>
        </bottom>
      </border>
    </dxf>
    <dxf>
      <font>
        <color rgb="00CD2B31"/>
      </font>
    </dxf>
    <dxf>
      <font>
        <b val="1"/>
      </font>
    </dxf>
    <dxf>
      <fill>
        <patternFill patternType="solid">
          <fgColor rgb="00ECEEF0"/>
          <bgColor rgb="00ECEE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FRQZ</author>
  </authors>
  <commentList>
    <comment ref="M5" authorId="0" shapeId="0">
      <text>
        <t>Worked out. Don't type here.</t>
      </text>
    </comment>
    <comment ref="N5" authorId="0" shapeId="0">
      <text>
        <t>Worked out. Don't type here.</t>
      </text>
    </comment>
    <comment ref="O5" authorId="0" shapeId="0">
      <text>
        <t>Worked out. Don't type here.</t>
      </text>
    </comment>
  </commentList>
</comments>
</file>

<file path=xl/comments/comment2.xml><?xml version="1.0" encoding="utf-8"?>
<comments xmlns="http://schemas.openxmlformats.org/spreadsheetml/2006/main">
  <authors>
    <author>FRQZ</author>
  </authors>
  <commentList>
    <comment ref="E17" authorId="0" shapeId="0">
      <text>
        <t>A program's figure is its projects' Forecast spend added up.</t>
      </text>
    </comment>
    <comment ref="F17" authorId="0" shapeId="0">
      <text>
        <t>Forecast spend minus Budget. Negative means under.</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drawing1.xml><?xml version="1.0" encoding="utf-8"?>
<wsDr xmlns="http://schemas.openxmlformats.org/drawingml/2006/spreadsheetDrawing">
  <oneCellAnchor>
    <from>
      <col>0</col>
      <colOff>0</colOff>
      <row>0</row>
      <rowOff>0</rowOff>
    </from>
    <ext cx="11430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1430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11430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11430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11430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11430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fitToPage="1"/>
  </sheetPr>
  <dimension ref="A1:B42"/>
  <sheetViews>
    <sheetView showGridLines="0" workbookViewId="0">
      <selection activeCell="A1" sqref="A1"/>
    </sheetView>
  </sheetViews>
  <sheetFormatPr baseColWidth="8" defaultRowHeight="15"/>
  <cols>
    <col width="22" customWidth="1" min="1" max="1"/>
    <col width="110" customWidth="1" min="2" max="2"/>
  </cols>
  <sheetData>
    <row r="1" ht="36" customHeight="1">
      <c r="B1" s="1" t="inlineStr">
        <is>
          <t>Portfolio workbook · Full (Example)</t>
        </is>
      </c>
    </row>
    <row r="2" ht="16" customHeight="1">
      <c r="A2" s="2" t="n"/>
      <c r="B2" s="3" t="inlineStr">
        <is>
          <t>A record of every program and project in one portfolio, kept by hand. Six tabs: Read me, Portfolio, Register, Funding, Steering and Checks.</t>
        </is>
      </c>
    </row>
    <row r="3" ht="18" customHeight="1">
      <c r="A3" s="4" t="inlineStr">
        <is>
          <t>Example. Wexbridge Quill Software and everyone in it are made up. Clear the white cells to start your own.</t>
        </is>
      </c>
      <c r="B3" s="5" t="n"/>
    </row>
    <row r="4" ht="6" customHeight="1"/>
    <row r="5">
      <c r="A5" s="6" t="inlineStr">
        <is>
          <t>Filling it in</t>
        </is>
      </c>
    </row>
    <row r="6" ht="32" customHeight="1">
      <c r="A6" s="7" t="n">
        <v>1</v>
      </c>
      <c r="B6" s="8" t="inlineStr">
        <is>
          <t>On Portfolio, type the portfolio's name, director, manager and status. If a steering group meets, pick how often, and add a First review date if it hasn't met yet.</t>
        </is>
      </c>
    </row>
    <row r="7" ht="32" customHeight="1">
      <c r="A7" s="7" t="n">
        <v>2</v>
      </c>
      <c r="B7" s="8" t="inlineStr">
        <is>
          <t>On Register, add a row for every program and every project, with Sits under, Status and Owner. On projects, pick an Approach in the last column, after Check.</t>
        </is>
      </c>
    </row>
    <row r="8" ht="46" customHeight="1">
      <c r="A8" s="7" t="n">
        <v>3</v>
      </c>
      <c r="B8" s="8" t="inlineStr">
        <is>
          <t>Type Planned finish, Latest forecast and Forecast spend, and Budget on programs and on projects directly under Portfolio. On Funding, type the envelope, its currency and where it came from.</t>
        </is>
      </c>
    </row>
    <row r="9" ht="32" customHeight="1">
      <c r="A9" s="7" t="n">
        <v>4</v>
      </c>
      <c r="B9" s="8" t="inlineStr">
        <is>
          <t>Read Health and Check on Register, and the Checks tab for every result. Write a Variance note on every Amber or Red row, ending with your name.</t>
        </is>
      </c>
    </row>
    <row r="10" ht="46" customHeight="1">
      <c r="A10" s="7" t="n">
        <v>5</v>
      </c>
      <c r="B10" s="8" t="inlineStr">
        <is>
          <t>After each steering meeting, add it under Meetings on Steering. Then log its decisions, each with one accountable person and who recorded it, and any actions with an owner and a due date.</t>
        </is>
      </c>
    </row>
    <row r="12">
      <c r="A12" s="9" t="inlineStr">
        <is>
          <t>YOUR LOGO</t>
        </is>
      </c>
    </row>
    <row r="13" ht="32" customHeight="1">
      <c r="A13" s="7" t="n"/>
      <c r="B13" s="8" t="inlineStr">
        <is>
          <t>The FRQZ logo is in cell A1 on every tab. To use your own, delete it and insert your logo in A1, on each tab.</t>
        </is>
      </c>
    </row>
    <row r="15">
      <c r="A15" s="9" t="inlineStr">
        <is>
          <t>NAMES</t>
        </is>
      </c>
    </row>
    <row r="16" ht="32" customHeight="1">
      <c r="A16" s="7" t="n"/>
      <c r="B16" s="8" t="inlineStr">
        <is>
          <t>Type each person's name the same way every time, with a role in brackets if you like: Priya (CTO). Names are matched exactly as typed, so Priya and Priya (CTO) count as two people.</t>
        </is>
      </c>
    </row>
    <row r="18">
      <c r="A18" s="9" t="inlineStr">
        <is>
          <t>READING THE MARKS</t>
        </is>
      </c>
    </row>
    <row r="19" ht="32" customHeight="1">
      <c r="A19" s="10" t="inlineStr">
        <is>
          <t>■ Red</t>
        </is>
      </c>
      <c r="B19" s="8" t="inlineStr">
        <is>
          <t>Late, or over budget, by more than your limit. The limits are on the Checks tab, and you can change them.</t>
        </is>
      </c>
    </row>
    <row r="20" ht="18" customHeight="1">
      <c r="A20" s="10" t="inlineStr">
        <is>
          <t>◧ Amber</t>
        </is>
      </c>
      <c r="B20" s="8" t="inlineStr">
        <is>
          <t>Late, or over budget, within your limit.</t>
        </is>
      </c>
    </row>
    <row r="21" ht="18" customHeight="1">
      <c r="A21" s="10" t="inlineStr">
        <is>
          <t>□ On track</t>
        </is>
      </c>
      <c r="B21" s="8" t="inlineStr">
        <is>
          <t>A date or a budget was read, and nothing is late or over.</t>
        </is>
      </c>
    </row>
    <row r="22" ht="46" customHeight="1">
      <c r="A22" s="7" t="inlineStr">
        <is>
          <t>Not read</t>
        </is>
      </c>
      <c r="B22" s="8" t="inlineStr">
        <is>
          <t>Nothing to judge from yet. A project with a Planned finish and no Latest forecast reads Not read; if the date hasn't moved, type it again as the forecast. A Sprint project always reads Not read.</t>
        </is>
      </c>
    </row>
    <row r="23" ht="18" customHeight="1">
      <c r="A23" s="7" t="inlineStr">
        <is>
          <t>Not counted</t>
        </is>
      </c>
      <c r="B23" s="8" t="inlineStr">
        <is>
          <t>Proposed, Completed or Terminated. Left out of every count.</t>
        </is>
      </c>
    </row>
    <row r="24" ht="32" customHeight="1">
      <c r="A24" s="10" t="inlineStr">
        <is>
          <t>△</t>
        </is>
      </c>
      <c r="B24" s="8" t="inlineStr">
        <is>
          <t>A check found something, and the words say what. Filter the Check column on △ to list them all.</t>
        </is>
      </c>
    </row>
    <row r="25" ht="18" customHeight="1">
      <c r="A25" s="10" t="inlineStr">
        <is>
          <t>○ Clear</t>
        </is>
      </c>
      <c r="B25" s="8" t="inlineStr">
        <is>
          <t>The check found nothing.</t>
        </is>
      </c>
    </row>
    <row r="27">
      <c r="A27" s="9" t="inlineStr">
        <is>
          <t>HOW HEALTH IS WORKED OUT</t>
        </is>
      </c>
    </row>
    <row r="28" ht="46" customHeight="1">
      <c r="A28" s="7" t="n"/>
      <c r="B28" s="8" t="inlineStr">
        <is>
          <t>Dates: a project is Red once its Planned finish has passed while it's still Active or Paused. Otherwise a Latest forecast past the plan by more than your limit is Red, and a smaller slip is Amber.</t>
        </is>
      </c>
    </row>
    <row r="29" ht="32" customHeight="1">
      <c r="A29" s="7" t="n"/>
      <c r="B29" s="8" t="inlineStr">
        <is>
          <t>Money: spend over Budget by more than your limit is Red, and a smaller overrun is Amber. A program's spend is its projects' Forecast spend added up.</t>
        </is>
      </c>
    </row>
    <row r="30" ht="46" customHeight="1">
      <c r="A30" s="7" t="n"/>
      <c r="B30" s="8" t="inlineStr">
        <is>
          <t>Health is the worse of the two. A program with no Latest forecast uses the latest among its projects. Its colour never hides theirs: Projects inside counts its Red and Amber projects beside it.</t>
        </is>
      </c>
    </row>
    <row r="32">
      <c r="A32" s="9" t="inlineStr">
        <is>
          <t>GREY COLUMNS</t>
        </is>
      </c>
    </row>
    <row r="33" ht="32" customHeight="1">
      <c r="A33" s="7" t="n"/>
      <c r="B33" s="8" t="inlineStr">
        <is>
          <t>Grey cells are worked out from what you type. Don't type over them: a typed value replaces the formula.</t>
        </is>
      </c>
    </row>
    <row r="34" ht="32" customHeight="1">
      <c r="A34" s="7" t="n"/>
      <c r="B34" s="8" t="inlineStr">
        <is>
          <t>Owner's current rows counts the Active and Paused rows that carry each owner's name, so you can see who's spread thin. It sets no limit.</t>
        </is>
      </c>
    </row>
    <row r="36">
      <c r="A36" s="9" t="inlineStr">
        <is>
          <t>THE STARTER WORKBOOK</t>
        </is>
      </c>
    </row>
    <row r="37" ht="32" customHeight="1">
      <c r="A37" s="7" t="n"/>
      <c r="B37" s="8" t="inlineStr">
        <is>
          <t>A small team that wants fewer tabs can use the Starter workbook. Its Register columns A to L match this one, so rows paste across.</t>
        </is>
      </c>
    </row>
    <row r="39">
      <c r="A39" s="9" t="inlineStr">
        <is>
          <t>ABOUT THIS EXAMPLE</t>
        </is>
      </c>
    </row>
    <row r="40" ht="18" customHeight="1">
      <c r="A40" s="7" t="n"/>
      <c r="B40" s="8" t="inlineStr">
        <is>
          <t>Wexbridge Quill Software is made up, and so is everyone in it.</t>
        </is>
      </c>
    </row>
    <row r="41" ht="74" customHeight="1">
      <c r="A41" s="7" t="n"/>
      <c r="B41" s="8" t="inlineStr">
        <is>
          <t>Four checks fail on purpose. Billing and Payments Program has no sponsor. Support Tooling Replacement sits under a program that isn't on the sheet, and Internal Wiki Cleanup is paused, so still current, outside the portfolio. The budgets add up to 30,000 USD more than the envelope. And the 15 Oct 2026 decision was recorded by the manager, where decisions are the director's to record.</t>
        </is>
      </c>
    </row>
    <row r="42" ht="32" customHeight="1">
      <c r="A42" s="7" t="n"/>
      <c r="B42" s="8" t="inlineStr">
        <is>
          <t>Support Tooling Replacement is a Sprint project, so its Health reads Not read. The other eight checks are clear. The dates are in 2026 and 2027, so the marks will change as time passes.</t>
        </is>
      </c>
    </row>
  </sheetData>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E37"/>
  <sheetViews>
    <sheetView showGridLines="0" workbookViewId="0">
      <selection activeCell="A1" sqref="A1"/>
    </sheetView>
  </sheetViews>
  <sheetFormatPr baseColWidth="8" defaultRowHeight="15"/>
  <cols>
    <col width="30" customWidth="1" min="1" max="1"/>
    <col width="30" customWidth="1" min="2" max="2"/>
    <col width="60" customWidth="1" min="3" max="3"/>
    <col width="14" customWidth="1" min="4" max="4"/>
    <col width="14" customWidth="1" min="5" max="5"/>
  </cols>
  <sheetData>
    <row r="1" ht="36" customHeight="1">
      <c r="B1" s="1" t="inlineStr">
        <is>
          <t>Portfolio (Example)</t>
        </is>
      </c>
    </row>
    <row r="2" ht="16" customHeight="1">
      <c r="A2" s="2" t="inlineStr">
        <is>
          <t>One portfolio per workbook. Type in the white cells; the grey ones are worked out.</t>
        </is>
      </c>
    </row>
    <row r="3" ht="18" customHeight="1">
      <c r="A3" s="4" t="inlineStr">
        <is>
          <t>Example. Wexbridge Quill Software and everyone in it are made up. Clear the white cells to start your own.</t>
        </is>
      </c>
      <c r="B3" s="5" t="n"/>
      <c r="C3" s="5" t="n"/>
      <c r="D3" s="5" t="n"/>
      <c r="E3" s="5" t="n"/>
    </row>
    <row r="4" ht="6" customHeight="1"/>
    <row r="5">
      <c r="A5" s="11" t="inlineStr">
        <is>
          <t>THE PORTFOLIO</t>
        </is>
      </c>
      <c r="B5" s="12" t="n"/>
      <c r="C5" s="12" t="n"/>
      <c r="D5" s="12" t="n"/>
      <c r="E5" s="12" t="n"/>
    </row>
    <row r="6" ht="18" customHeight="1">
      <c r="A6" s="13" t="inlineStr">
        <is>
          <t>PORTFOLIO NAME</t>
        </is>
      </c>
      <c r="B6" s="14" t="inlineStr">
        <is>
          <t>Product and Platform</t>
        </is>
      </c>
      <c r="C6" s="13" t="inlineStr">
        <is>
          <t>What you call the work this workbook covers. Required.</t>
        </is>
      </c>
    </row>
    <row r="7" ht="30" customHeight="1">
      <c r="A7" s="13" t="inlineStr">
        <is>
          <t>DIRECTOR</t>
        </is>
      </c>
      <c r="B7" s="14" t="inlineStr">
        <is>
          <t>Priya (CTO)</t>
        </is>
      </c>
      <c r="C7" s="13" t="inlineStr">
        <is>
          <t>The person accountable for the portfolio's direction and benefits. A name, with a role in brackets if you like. Required.</t>
        </is>
      </c>
    </row>
    <row r="8" ht="30" customHeight="1">
      <c r="A8" s="13" t="inlineStr">
        <is>
          <t>MANAGER</t>
        </is>
      </c>
      <c r="B8" s="14" t="inlineStr">
        <is>
          <t>Tomasz (PMO Head)</t>
        </is>
      </c>
      <c r="C8" s="13" t="inlineStr">
        <is>
          <t>The person who runs it day to day and keeps the register. Can be the director. Required.</t>
        </is>
      </c>
    </row>
    <row r="9" ht="30" customHeight="1">
      <c r="A9" s="13" t="inlineStr">
        <is>
          <t>STATUS</t>
        </is>
      </c>
      <c r="B9" s="14" t="inlineStr">
        <is>
          <t>Active</t>
        </is>
      </c>
      <c r="C9" s="13" t="inlineStr">
        <is>
          <t>Where the portfolio is in its life. Blank counts as Active. Reviews are checked only while it's Active.</t>
        </is>
      </c>
    </row>
    <row r="10" ht="30" customHeight="1">
      <c r="A10" s="13" t="inlineStr">
        <is>
          <t>REVIEW CADENCE</t>
        </is>
      </c>
      <c r="B10" s="14" t="inlineStr">
        <is>
          <t>Quarterly</t>
        </is>
      </c>
      <c r="C10" s="13" t="inlineStr">
        <is>
          <t>How often the steering group reviews the portfolio. Leave blank if there isn't one.</t>
        </is>
      </c>
    </row>
    <row r="11" ht="30" customHeight="1">
      <c r="A11" s="13" t="inlineStr">
        <is>
          <t>FIRST REVIEW</t>
        </is>
      </c>
      <c r="B11" s="15" t="n">
        <v>46037</v>
      </c>
      <c r="C11" s="13" t="inlineStr">
        <is>
          <t>The date of the first review, while no meeting is logged on Steering. Optional.</t>
        </is>
      </c>
    </row>
    <row r="12" ht="18" customHeight="1">
      <c r="A12" s="13" t="inlineStr">
        <is>
          <t>LAST REVIEW</t>
        </is>
      </c>
      <c r="B12" s="16">
        <f>IF(COUNT(Steering!$G$6:$G$55)=0,"",MAX(Steering!$G$6:$G$55))</f>
        <v/>
      </c>
      <c r="C12" s="13" t="inlineStr">
        <is>
          <t>Worked out: the latest meeting date on Steering.</t>
        </is>
      </c>
    </row>
    <row r="13" ht="30" customHeight="1">
      <c r="A13" s="13" t="inlineStr">
        <is>
          <t>NEXT REVIEW</t>
        </is>
      </c>
      <c r="B13" s="16">
        <f>IF($B$10="","No review date",IF($B$12&lt;&gt;"",IF($B$10="Monthly",EDATE($B$12,1),IF($B$10="Quarterly",EDATE($B$12,3),IF($B$10="Twice a year",EDATE($B$12,6),EDATE($B$12,12)))),IF($B$11&lt;&gt;"",$B$11,"No review date")))</f>
        <v/>
      </c>
      <c r="C13" s="13" t="inlineStr">
        <is>
          <t>Worked out: Last review plus the cadence, or First review until a meeting is logged.</t>
        </is>
      </c>
    </row>
    <row r="14" ht="18" customHeight="1">
      <c r="A14" s="13" t="inlineStr">
        <is>
          <t>PEOPLE CHECK</t>
        </is>
      </c>
      <c r="B14" s="17">
        <f>IF(AND($B$7&lt;&gt;"",$B$8&lt;&gt;""),"○ Clear","△ "&amp;IF(AND($B$7="",$B$8=""),"Director and manager not named",IF($B$7="","Director not named","Manager not named")))</f>
        <v/>
      </c>
      <c r="C14" s="13" t="inlineStr">
        <is>
          <t>Shows △ when the director or the manager isn't named.</t>
        </is>
      </c>
    </row>
    <row r="15" ht="30" customHeight="1">
      <c r="A15" s="13" t="inlineStr">
        <is>
          <t>REVIEW CHECK</t>
        </is>
      </c>
      <c r="B15" s="17">
        <f>IF(OR($B$10="",AND($B$9&lt;&gt;"",$B$9&lt;&gt;"Active")),"○ Clear",IF($B$13="No review date","△ No review date",IF($B$13&lt;TODAY(),"△ Review overdue since "&amp;TEXT($B$13,"d mmm yyyy"),"○ Clear")))</f>
        <v/>
      </c>
      <c r="C15" s="13" t="inlineStr">
        <is>
          <t>Shows △ when the next review has passed, or a cadence is set with no review date.</t>
        </is>
      </c>
    </row>
    <row r="17">
      <c r="A17" s="11" t="inlineStr">
        <is>
          <t>COUNTS BY HEALTH</t>
        </is>
      </c>
      <c r="B17" s="12" t="n"/>
      <c r="C17" s="18" t="inlineStr">
        <is>
          <t>Programs and projects directly under Portfolio, one count each. A program's own projects are counted beside it on Register.</t>
        </is>
      </c>
      <c r="D17" s="12" t="n"/>
      <c r="E17" s="12" t="n"/>
    </row>
    <row r="18" ht="18" customHeight="1">
      <c r="A18" s="19" t="inlineStr">
        <is>
          <t>■ Red</t>
        </is>
      </c>
      <c r="B18" s="20">
        <f>COUNTIFS(Register!$C$6:$C$305,"Portfolio",Register!$M$6:$M$305,"■ Red")</f>
        <v/>
      </c>
    </row>
    <row r="19" ht="18" customHeight="1">
      <c r="A19" s="19" t="inlineStr">
        <is>
          <t>◧ Amber</t>
        </is>
      </c>
      <c r="B19" s="20">
        <f>COUNTIFS(Register!$C$6:$C$305,"Portfolio",Register!$M$6:$M$305,"◧ Amber")</f>
        <v/>
      </c>
    </row>
    <row r="20" ht="18" customHeight="1">
      <c r="A20" s="19" t="inlineStr">
        <is>
          <t>□ On track</t>
        </is>
      </c>
      <c r="B20" s="20">
        <f>COUNTIFS(Register!$C$6:$C$305,"Portfolio",Register!$M$6:$M$305,"□ On track")</f>
        <v/>
      </c>
    </row>
    <row r="21" ht="18" customHeight="1">
      <c r="A21" s="19" t="inlineStr">
        <is>
          <t>Not read</t>
        </is>
      </c>
      <c r="B21" s="20">
        <f>COUNTIFS(Register!$C$6:$C$305,"Portfolio",Register!$M$6:$M$305,"Not read")</f>
        <v/>
      </c>
    </row>
    <row r="22" ht="30" customHeight="1">
      <c r="A22" s="13" t="inlineStr">
        <is>
          <t>CURRENT ROWS OUTSIDE THE PORTFOLIO</t>
        </is>
      </c>
      <c r="B22" s="20">
        <f>COUNTIFS(Register!$C$6:$C$305,"Outside the portfolio",Register!$Q$6:$Q$305,1)</f>
        <v/>
      </c>
      <c r="C22" s="13" t="inlineStr">
        <is>
          <t>Active or Paused rows with Sits under set to Outside the portfolio. Left out of the counts above.</t>
        </is>
      </c>
    </row>
    <row r="24" ht="18" customHeight="1">
      <c r="A24" s="13" t="inlineStr">
        <is>
          <t>CHECKS</t>
        </is>
      </c>
      <c r="B24" s="17">
        <f>Checks!$B$10</f>
        <v/>
      </c>
      <c r="C24" s="13" t="inlineStr">
        <is>
          <t>Every result is on the Checks tab.</t>
        </is>
      </c>
    </row>
    <row r="26">
      <c r="A26" s="11" t="inlineStr">
        <is>
          <t>OBJECTIVES</t>
        </is>
      </c>
      <c r="B26" s="12" t="n"/>
      <c r="C26" s="12" t="n"/>
      <c r="D26" s="12" t="n"/>
      <c r="E26" s="12" t="n"/>
    </row>
    <row r="27" ht="20" customHeight="1">
      <c r="A27" s="21" t="inlineStr">
        <is>
          <t>Objective</t>
        </is>
      </c>
      <c r="B27" s="21" t="inlineStr">
        <is>
          <t>Owner</t>
        </is>
      </c>
      <c r="C27" s="21" t="inlineStr">
        <is>
          <t>Measure and target</t>
        </is>
      </c>
      <c r="D27" s="21" t="inlineStr">
        <is>
          <t>Target date</t>
        </is>
      </c>
      <c r="E27" s="22" t="inlineStr">
        <is>
          <t>Linked rows</t>
        </is>
      </c>
    </row>
    <row r="28" ht="28" customHeight="1">
      <c r="A28" s="23" t="inlineStr">
        <is>
          <t>Cut the time to bring on a new customer</t>
        </is>
      </c>
      <c r="B28" s="23" t="inlineStr">
        <is>
          <t>Priya (CTO)</t>
        </is>
      </c>
      <c r="C28" s="23" t="inlineStr">
        <is>
          <t>Days from signed order to first live use: 21</t>
        </is>
      </c>
      <c r="D28" s="24" t="n">
        <v>46568</v>
      </c>
      <c r="E28" s="20">
        <f>IF($A28="","",COUNTIF(Register!$G$6:$G$305,$A28))</f>
        <v/>
      </c>
    </row>
    <row r="29" ht="28" customHeight="1">
      <c r="A29" s="23" t="inlineStr">
        <is>
          <t>Pass the annual audit with no major findings</t>
        </is>
      </c>
      <c r="B29" s="23" t="inlineStr">
        <is>
          <t>Imani (Security Lead)</t>
        </is>
      </c>
      <c r="C29" s="23" t="inlineStr">
        <is>
          <t>Major findings at audit: 0</t>
        </is>
      </c>
      <c r="D29" s="24" t="n">
        <v>46444</v>
      </c>
      <c r="E29" s="20">
        <f>IF($A29="","",COUNTIF(Register!$G$6:$G$305,$A29))</f>
        <v/>
      </c>
    </row>
    <row r="30" ht="28" customHeight="1">
      <c r="A30" s="23" t="inlineStr">
        <is>
          <t>Move all billing to the new engine before renewals</t>
        </is>
      </c>
      <c r="B30" s="23" t="inlineStr">
        <is>
          <t>Hugo (Program Manager)</t>
        </is>
      </c>
      <c r="C30" s="23" t="inlineStr">
        <is>
          <t>Share of invoices from the new engine: 100%</t>
        </is>
      </c>
      <c r="D30" s="24" t="n">
        <v>46660</v>
      </c>
      <c r="E30" s="20">
        <f>IF($A30="","",COUNTIF(Register!$G$6:$G$305,$A30))</f>
        <v/>
      </c>
    </row>
    <row r="31">
      <c r="A31" s="23" t="n"/>
      <c r="B31" s="23" t="n"/>
      <c r="C31" s="23" t="n"/>
      <c r="D31" s="24" t="n"/>
      <c r="E31" s="20">
        <f>IF($A31="","",COUNTIF(Register!$G$6:$G$305,$A31))</f>
        <v/>
      </c>
    </row>
    <row r="32">
      <c r="A32" s="23" t="n"/>
      <c r="B32" s="23" t="n"/>
      <c r="C32" s="23" t="n"/>
      <c r="D32" s="24" t="n"/>
      <c r="E32" s="20">
        <f>IF($A32="","",COUNTIF(Register!$G$6:$G$305,$A32))</f>
        <v/>
      </c>
    </row>
    <row r="33">
      <c r="A33" s="23" t="n"/>
      <c r="B33" s="23" t="n"/>
      <c r="C33" s="23" t="n"/>
      <c r="D33" s="24" t="n"/>
      <c r="E33" s="20">
        <f>IF($A33="","",COUNTIF(Register!$G$6:$G$305,$A33))</f>
        <v/>
      </c>
    </row>
    <row r="34">
      <c r="A34" s="23" t="n"/>
      <c r="B34" s="23" t="n"/>
      <c r="C34" s="23" t="n"/>
      <c r="D34" s="24" t="n"/>
      <c r="E34" s="20">
        <f>IF($A34="","",COUNTIF(Register!$G$6:$G$305,$A34))</f>
        <v/>
      </c>
    </row>
    <row r="35">
      <c r="A35" s="23" t="n"/>
      <c r="B35" s="23" t="n"/>
      <c r="C35" s="23" t="n"/>
      <c r="D35" s="24" t="n"/>
      <c r="E35" s="20">
        <f>IF($A35="","",COUNTIF(Register!$G$6:$G$305,$A35))</f>
        <v/>
      </c>
    </row>
    <row r="36">
      <c r="A36" s="23" t="n"/>
      <c r="B36" s="23" t="n"/>
      <c r="C36" s="23" t="n"/>
      <c r="D36" s="24" t="n"/>
      <c r="E36" s="20">
        <f>IF($A36="","",COUNTIF(Register!$G$6:$G$305,$A36))</f>
        <v/>
      </c>
    </row>
    <row r="37">
      <c r="A37" s="23" t="n"/>
      <c r="B37" s="23" t="n"/>
      <c r="C37" s="23" t="n"/>
      <c r="D37" s="24" t="n"/>
      <c r="E37" s="20">
        <f>IF($A37="","",COUNTIF(Register!$G$6:$G$305,$A37))</f>
        <v/>
      </c>
    </row>
  </sheetData>
  <conditionalFormatting sqref="B6:B8">
    <cfRule type="expression" priority="1" dxfId="0" stopIfTrue="0">
      <formula>B6=""</formula>
    </cfRule>
  </conditionalFormatting>
  <conditionalFormatting sqref="B14:B15">
    <cfRule type="expression" priority="2" dxfId="1" stopIfTrue="0">
      <formula>LEFT(B14,1)="△"</formula>
    </cfRule>
  </conditionalFormatting>
  <dataValidations count="11">
    <dataValidation sqref="B6" showDropDown="0" showInputMessage="1" showErrorMessage="0" allowBlank="1" promptTitle="Portfolio name" prompt="What you call the work this workbook covers. Required." errorStyle="stop"/>
    <dataValidation sqref="B7" showDropDown="0" showInputMessage="1" showErrorMessage="0" allowBlank="1" promptTitle="Director" prompt="The person accountable for the portfolio's direction and benefits. A name, with a role in brackets if you like. Required." errorStyle="stop"/>
    <dataValidation sqref="B8" showDropDown="0" showInputMessage="1" showErrorMessage="0" allowBlank="1" promptTitle="Manager" prompt="The person who runs it day to day and keeps the register. Can be the director. Required." errorStyle="stop"/>
    <dataValidation sqref="B9" showDropDown="0" showInputMessage="1" showErrorMessage="1" allowBlank="1" errorTitle="Check this entry" error="Pick a status from the list." promptTitle="Status" prompt="Where the portfolio is in its life. Blank counts as Active. Reviews are checked only while it's Active." type="list" errorStyle="stop">
      <formula1>"Proposed,Active,Paused,Completed,Terminated"</formula1>
    </dataValidation>
    <dataValidation sqref="B10" showDropDown="0" showInputMessage="1" showErrorMessage="1" allowBlank="1" errorTitle="Check this entry" error="Pick a cadence from the list." promptTitle="Review cadence" prompt="How often the steering group reviews the portfolio. Leave blank if there isn't one." type="list" errorStyle="stop">
      <formula1>"Monthly,Quarterly,Twice a year,Yearly"</formula1>
    </dataValidation>
    <dataValidation sqref="B11" showDropDown="0" showInputMessage="1" showErrorMessage="1" allowBlank="1" errorTitle="Check this entry" error="Type a date, such as 30 Jun 2027." promptTitle="First review" prompt="The date of the first review, while no meeting is logged on Steering. Optional." type="date" errorStyle="stop" operator="greaterThan">
      <formula1>36526</formula1>
    </dataValidation>
    <dataValidation sqref="A28:A37" showDropDown="0" showInputMessage="1" showErrorMessage="0" allowBlank="1" promptTitle="Objective" prompt="What the portfolio is for, in one line." errorStyle="stop"/>
    <dataValidation sqref="B28:B37" showDropDown="0" showInputMessage="1" showErrorMessage="0" allowBlank="1" promptTitle="Owner" prompt="The one person accountable for it." errorStyle="stop"/>
    <dataValidation sqref="C28:C37" showDropDown="0" showInputMessage="1" showErrorMessage="0" allowBlank="1" promptTitle="Measure and target" prompt="How you'll know, with the number you're aiming for. For example: Days to first live use: 21." errorStyle="stop"/>
    <dataValidation sqref="E28:E37" showDropDown="0" showInputMessage="1" showErrorMessage="0" allowBlank="1" promptTitle="Linked rows" prompt="Worked out: how many Register rows serve this objective." errorStyle="stop"/>
    <dataValidation sqref="D28:D37" showDropDown="0" showInputMessage="1" showErrorMessage="1" allowBlank="1" errorTitle="Check this entry" error="Type a date, such as 30 Jun 2027." promptTitle="Target date" prompt="The date to reach the target by." type="date" errorStyle="stop" operator="greaterThan">
      <formula1>36526</formula1>
    </dataValidation>
  </dataValidations>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AI30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30" customWidth="1" min="3" max="3"/>
    <col width="12" customWidth="1" min="4" max="4"/>
    <col width="26" customWidth="1" min="5" max="5"/>
    <col width="20" customWidth="1" min="6" max="6"/>
    <col width="34" customWidth="1" min="7" max="7"/>
    <col width="13" customWidth="1" min="8" max="8"/>
    <col width="13" customWidth="1" min="9" max="9"/>
    <col width="14" customWidth="1" min="10" max="10"/>
    <col width="14" customWidth="1" min="11" max="11"/>
    <col width="44" customWidth="1" min="12" max="12"/>
    <col width="12" customWidth="1" min="13" max="13"/>
    <col width="22" customWidth="1" min="14" max="14"/>
    <col width="12" customWidth="1" min="15" max="15"/>
    <col width="34" customWidth="1" min="16" max="16"/>
    <col hidden="1" outlineLevel="1" width="13" customWidth="1" min="17" max="31"/>
    <col width="13" customWidth="1" min="32" max="32"/>
    <col hidden="1" outlineLevel="1" width="13" customWidth="1" min="33" max="35"/>
  </cols>
  <sheetData>
    <row r="1" ht="36" customHeight="1">
      <c r="B1" s="1" t="inlineStr">
        <is>
          <t>Register (Example)</t>
        </is>
      </c>
    </row>
    <row r="2" ht="16" customHeight="1">
      <c r="A2" s="2">
        <f>IF(Portfolio!$B$6="","","Portfolio: "&amp;Portfolio!$B$6)</f>
        <v/>
      </c>
    </row>
    <row r="3" ht="18" customHeight="1">
      <c r="A3" s="4" t="inlineStr">
        <is>
          <t>Example. Wexbridge Quill Software and everyone in it are made up. Clear the white cells to start your own.</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row>
    <row r="4" ht="6" customHeight="1"/>
    <row r="5" ht="32" customHeight="1">
      <c r="A5" s="21" t="inlineStr">
        <is>
          <t>Name</t>
        </is>
      </c>
      <c r="B5" s="21" t="inlineStr">
        <is>
          <t>Level</t>
        </is>
      </c>
      <c r="C5" s="21" t="inlineStr">
        <is>
          <t>Sits under</t>
        </is>
      </c>
      <c r="D5" s="21" t="inlineStr">
        <is>
          <t>Status</t>
        </is>
      </c>
      <c r="E5" s="21" t="inlineStr">
        <is>
          <t>Owner</t>
        </is>
      </c>
      <c r="F5" s="21" t="inlineStr">
        <is>
          <t>Sponsor</t>
        </is>
      </c>
      <c r="G5" s="21" t="inlineStr">
        <is>
          <t>Objective</t>
        </is>
      </c>
      <c r="H5" s="21" t="inlineStr">
        <is>
          <t>Planned finish</t>
        </is>
      </c>
      <c r="I5" s="21" t="inlineStr">
        <is>
          <t>Latest forecast</t>
        </is>
      </c>
      <c r="J5" s="21" t="inlineStr">
        <is>
          <t>Forecast spend</t>
        </is>
      </c>
      <c r="K5" s="21" t="inlineStr">
        <is>
          <t>Budget</t>
        </is>
      </c>
      <c r="L5" s="21" t="inlineStr">
        <is>
          <t>Variance note</t>
        </is>
      </c>
      <c r="M5" s="22" t="inlineStr">
        <is>
          <t>Health</t>
        </is>
      </c>
      <c r="N5" s="22" t="inlineStr">
        <is>
          <t>Projects inside</t>
        </is>
      </c>
      <c r="O5" s="22" t="inlineStr">
        <is>
          <t>Owner's current rows</t>
        </is>
      </c>
      <c r="P5" s="22" t="inlineStr">
        <is>
          <t>Check</t>
        </is>
      </c>
      <c r="Q5" s="22" t="inlineStr">
        <is>
          <t>Helper, worked out</t>
        </is>
      </c>
      <c r="R5" s="22" t="inlineStr">
        <is>
          <t>Helper, worked out</t>
        </is>
      </c>
      <c r="S5" s="22" t="inlineStr">
        <is>
          <t>Helper, worked out</t>
        </is>
      </c>
      <c r="T5" s="22" t="inlineStr">
        <is>
          <t>Helper, worked out</t>
        </is>
      </c>
      <c r="U5" s="22" t="inlineStr">
        <is>
          <t>Helper, worked out</t>
        </is>
      </c>
      <c r="V5" s="22" t="inlineStr">
        <is>
          <t>Helper, worked out</t>
        </is>
      </c>
      <c r="W5" s="22" t="inlineStr">
        <is>
          <t>Helper, worked out</t>
        </is>
      </c>
      <c r="X5" s="22" t="inlineStr">
        <is>
          <t>Helper, worked out</t>
        </is>
      </c>
      <c r="Y5" s="22" t="inlineStr">
        <is>
          <t>Helper, worked out</t>
        </is>
      </c>
      <c r="Z5" s="22" t="inlineStr">
        <is>
          <t>Helper, worked out</t>
        </is>
      </c>
      <c r="AA5" s="22" t="inlineStr">
        <is>
          <t>Helper, worked out</t>
        </is>
      </c>
      <c r="AB5" s="22" t="inlineStr">
        <is>
          <t>Helper, worked out</t>
        </is>
      </c>
      <c r="AC5" s="22" t="inlineStr">
        <is>
          <t>Helper, worked out</t>
        </is>
      </c>
      <c r="AD5" s="22" t="inlineStr">
        <is>
          <t>Helper, worked out</t>
        </is>
      </c>
      <c r="AE5" s="22" t="inlineStr">
        <is>
          <t>Helper, worked out</t>
        </is>
      </c>
      <c r="AF5" s="21" t="inlineStr">
        <is>
          <t>Approach</t>
        </is>
      </c>
      <c r="AG5" s="22" t="inlineStr">
        <is>
          <t>Helper, worked out</t>
        </is>
      </c>
      <c r="AH5" s="22" t="inlineStr">
        <is>
          <t>Helper, worked out</t>
        </is>
      </c>
      <c r="AI5" s="22" t="inlineStr">
        <is>
          <t>Helper, worked out</t>
        </is>
      </c>
    </row>
    <row r="6">
      <c r="A6" s="25" t="inlineStr">
        <is>
          <t>Customer Platform Modernisation</t>
        </is>
      </c>
      <c r="B6" s="25" t="inlineStr">
        <is>
          <t>Program</t>
        </is>
      </c>
      <c r="C6" s="25" t="inlineStr">
        <is>
          <t>Portfolio</t>
        </is>
      </c>
      <c r="D6" s="25" t="inlineStr">
        <is>
          <t>Active</t>
        </is>
      </c>
      <c r="E6" s="25" t="inlineStr">
        <is>
          <t>Dara (Program Manager)</t>
        </is>
      </c>
      <c r="F6" s="25" t="inlineStr">
        <is>
          <t>Priya (CTO)</t>
        </is>
      </c>
      <c r="G6" s="25" t="inlineStr">
        <is>
          <t>Cut the time to bring on a new customer</t>
        </is>
      </c>
      <c r="H6" s="26" t="n">
        <v>46507</v>
      </c>
      <c r="I6" s="26" t="n"/>
      <c r="J6" s="27" t="n"/>
      <c r="K6" s="27" t="n">
        <v>1100000</v>
      </c>
      <c r="L6" s="23" t="n"/>
      <c r="M6" s="28">
        <f>IF($A6="","",IF($D6="","Not read",IF($Q6=0,"Not counted",IF(MAX($X6,$Y6)=3,"■ Red",IF(MAX($X6,$Y6)=2,"◧ Amber",IF(MAX($X6,$Y6)=1,"□ On track","Not read"))))))</f>
        <v/>
      </c>
      <c r="N6" s="28">
        <f>IF(OR($A6="",$B6&lt;&gt;"Program"),"","■ "&amp;COUNTIFS($C$6:$C$305,$A6,$M$6:$M$305,"■ Red")&amp;" Red, ◧ "&amp;COUNTIFS($C$6:$C$305,$A6,$M$6:$M$305,"◧ Amber")&amp;" Amber")</f>
        <v/>
      </c>
      <c r="O6" s="29">
        <f>IF(OR($A6="",$E6=""),"",COUNTIFS($E$6:$E$305,$E6,$D$6:$D$305,"Active")+COUNTIFS($E$6:$E$305,$E6,$D$6:$D$305,"Paused"))</f>
        <v/>
      </c>
      <c r="P6" s="28">
        <f>IF($A6="","",IF($AE6=0,"○ Clear",IF($AA6=1,"△ No owner",IF($AC6=1,"△ Check Sits under",IF($AC6=2,"△ Outside the portfolio",IF($AB6=1,"△ No sponsor",IF($AH6=1,"△ Name used twice",IF($AG6=1,"△ Budget only counts under Portfolio","△ No variance note"))))))&amp;IF($AE6&gt;1," (+"&amp;($AE6-1)&amp;" more)","")))</f>
        <v/>
      </c>
      <c r="Q6" s="28">
        <f>IF(AND($A6&lt;&gt;"",OR($D6="Active",$D6="Paused")),1,0)</f>
        <v/>
      </c>
      <c r="R6" s="28" t="inlineStr">
        <is>
          <t>Portfolio</t>
        </is>
      </c>
      <c r="S6" s="28">
        <f>IF(AND($A6&lt;&gt;"",$B6="Program"),COUNTIFS($B$6:$B6,"Program",$A$6:$A6,"&lt;&gt;"),"")</f>
        <v/>
      </c>
      <c r="T6" s="30">
        <f>IF(AND($A6&lt;&gt;"",$B6="Program"),SUMPRODUCT(MAX(($C$6:$C$305=$A6)*($B$6:$B$305="Project")*($D$6:$D$305&lt;&gt;"Proposed")*$I$6:$I$305)),0)</f>
        <v/>
      </c>
      <c r="U6" s="30">
        <f>IF($I6&lt;&gt;"",$I6,IF($T6&gt;0,$T6,""))</f>
        <v/>
      </c>
      <c r="V6" s="28">
        <f>IF(AND($A6&lt;&gt;"",$B6="Program"),SUMIFS($J$6:$J$305,$C$6:$C$305,$A6,$B$6:$B$305,"Project",$D$6:$D$305,"&lt;&gt;Proposed"),0)</f>
        <v/>
      </c>
      <c r="W6" s="28">
        <f>IF(AND($A6&lt;&gt;"",$B6="Program"),COUNTIFS($C$6:$C$305,$A6,$B$6:$B$305,"Project",$D$6:$D$305,"&lt;&gt;Proposed")-COUNTIFS($C$6:$C$305,$A6,$B$6:$B$305,"Project",$D$6:$D$305,"&lt;&gt;Proposed",$J$6:$J$305,"&gt;=0"),0)</f>
        <v/>
      </c>
      <c r="X6" s="28">
        <f>IF(OR($Q6=0,$H6="",$AF6="Sprint"),0,IF(AND($B6="Project",$H6&lt;TODAY()),3,IF($U6="",0,IF($U6&lt;=$H6,1,IF(NETWORKDAYS($H6,$U6)-1&gt;IF($B6="Program",Checks!$B$7,Checks!$B$6),3,2)))))</f>
        <v/>
      </c>
      <c r="Y6" s="28">
        <f>IF(OR($Q6=0,$K6="",$K6=0,$AF6="Sprint"),0,IF(AND($B6="Project",$J6=""),0,IF(IF($B6="Program",$V6,$J6)&gt;$K6*(1+Checks!$B$8),3,IF(IF($B6="Program",$V6,$J6)&gt;$K6,2,IF(AND($B6="Program",OR($W6&gt;0,$V6=0)),0,1)))))</f>
        <v/>
      </c>
      <c r="Z6" s="28">
        <f>IF($A6="",0,IF($C6="Portfolio",1,IF(AND($B6="Project",$C6&lt;&gt;"",$C6&lt;&gt;"Outside the portfolio"),IFERROR(IF(AND(INDEX($B$6:$B$305,MATCH($C6,$A$6:$A$305,0))="Program",INDEX($C$6:$C$305,MATCH($C6,$A$6:$A$305,0))="Portfolio"),1,0),0),0)))</f>
        <v/>
      </c>
      <c r="AA6" s="28">
        <f>IF(AND($A6&lt;&gt;"",$E6="",OR($Q6=1,$D6="Proposed")),1,0)</f>
        <v/>
      </c>
      <c r="AB6" s="28">
        <f>IF(AND($A6&lt;&gt;"",$B6="Program",$F6="",$Q6=1),1,0)</f>
        <v/>
      </c>
      <c r="AC6" s="28">
        <f>IF(OR($A6="",$D6="Completed",$D6="Terminated"),0,IF($C6="",1,IF($C6="Portfolio",0,IF($C6="Outside the portfolio",IF($Q6=1,2,0),IF($B6="Project",IF(IFERROR(INDEX($B$6:$B$305,MATCH($C6,$A$6:$A$305,0)),"")="Program",0,1),1)))))</f>
        <v/>
      </c>
      <c r="AD6" s="28">
        <f>IF(AND($A6&lt;&gt;"",OR($M6="■ Red",$M6="◧ Amber"),$L6=""),1,0)</f>
        <v/>
      </c>
      <c r="AE6" s="28">
        <f>$AA6+$AB6+IF($AC6&gt;0,1,0)+$AD6+$AG6+$AH6</f>
        <v/>
      </c>
      <c r="AF6" s="25" t="n"/>
      <c r="AG6" s="28">
        <f>IF(AND($A6&lt;&gt;"",$K6&lt;&gt;"",$C6&lt;&gt;"Portfolio",$D6&lt;&gt;"Completed",$D6&lt;&gt;"Terminated"),1,0)</f>
        <v/>
      </c>
      <c r="AH6" s="28">
        <f>IF(AND($A6&lt;&gt;"",COUNTIF($A$6:$A$305,$A6)&gt;1),1,0)</f>
        <v/>
      </c>
      <c r="AI6" s="28">
        <f>IF(AND($A6&lt;&gt;"",$C6="Portfolio"),COUNTIFS($C$6:$C6,"Portfolio",$A$6:$A6,"&lt;&gt;"),"")</f>
        <v/>
      </c>
    </row>
    <row r="7">
      <c r="A7" s="25" t="inlineStr">
        <is>
          <t>Data Migration Wave 2</t>
        </is>
      </c>
      <c r="B7" s="25" t="inlineStr">
        <is>
          <t>Project</t>
        </is>
      </c>
      <c r="C7" s="25" t="inlineStr">
        <is>
          <t>Customer Platform Modernisation</t>
        </is>
      </c>
      <c r="D7" s="25" t="inlineStr">
        <is>
          <t>Active</t>
        </is>
      </c>
      <c r="E7" s="25" t="inlineStr">
        <is>
          <t>Kofi (Delivery Lead)</t>
        </is>
      </c>
      <c r="F7" s="25" t="n"/>
      <c r="G7" s="25" t="inlineStr">
        <is>
          <t>Cut the time to bring on a new customer</t>
        </is>
      </c>
      <c r="H7" s="26" t="n">
        <v>46444</v>
      </c>
      <c r="I7" s="26" t="n">
        <v>46458</v>
      </c>
      <c r="J7" s="27" t="n">
        <v>520000</v>
      </c>
      <c r="K7" s="27" t="n"/>
      <c r="L7" s="23" t="inlineStr">
        <is>
          <t>Schema fix agreed with the vendor; the new date holds only if it lands by 5 Nov. Kofi</t>
        </is>
      </c>
      <c r="M7" s="28">
        <f>IF($A7="","",IF($D7="","Not read",IF($Q7=0,"Not counted",IF(MAX($X7,$Y7)=3,"■ Red",IF(MAX($X7,$Y7)=2,"◧ Amber",IF(MAX($X7,$Y7)=1,"□ On track","Not read"))))))</f>
        <v/>
      </c>
      <c r="N7" s="28">
        <f>IF(OR($A7="",$B7&lt;&gt;"Program"),"","■ "&amp;COUNTIFS($C$6:$C$305,$A7,$M$6:$M$305,"■ Red")&amp;" Red, ◧ "&amp;COUNTIFS($C$6:$C$305,$A7,$M$6:$M$305,"◧ Amber")&amp;" Amber")</f>
        <v/>
      </c>
      <c r="O7" s="29">
        <f>IF(OR($A7="",$E7=""),"",COUNTIFS($E$6:$E$305,$E7,$D$6:$D$305,"Active")+COUNTIFS($E$6:$E$305,$E7,$D$6:$D$305,"Paused"))</f>
        <v/>
      </c>
      <c r="P7" s="28">
        <f>IF($A7="","",IF($AE7=0,"○ Clear",IF($AA7=1,"△ No owner",IF($AC7=1,"△ Check Sits under",IF($AC7=2,"△ Outside the portfolio",IF($AB7=1,"△ No sponsor",IF($AH7=1,"△ Name used twice",IF($AG7=1,"△ Budget only counts under Portfolio","△ No variance note"))))))&amp;IF($AE7&gt;1," (+"&amp;($AE7-1)&amp;" more)","")))</f>
        <v/>
      </c>
      <c r="Q7" s="28">
        <f>IF(AND($A7&lt;&gt;"",OR($D7="Active",$D7="Paused")),1,0)</f>
        <v/>
      </c>
      <c r="R7" s="28" t="inlineStr">
        <is>
          <t>Outside the portfolio</t>
        </is>
      </c>
      <c r="S7" s="28">
        <f>IF(AND($A7&lt;&gt;"",$B7="Program"),COUNTIFS($B$6:$B7,"Program",$A$6:$A7,"&lt;&gt;"),"")</f>
        <v/>
      </c>
      <c r="T7" s="30">
        <f>IF(AND($A7&lt;&gt;"",$B7="Program"),SUMPRODUCT(MAX(($C$6:$C$305=$A7)*($B$6:$B$305="Project")*($D$6:$D$305&lt;&gt;"Proposed")*$I$6:$I$305)),0)</f>
        <v/>
      </c>
      <c r="U7" s="30">
        <f>IF($I7&lt;&gt;"",$I7,IF($T7&gt;0,$T7,""))</f>
        <v/>
      </c>
      <c r="V7" s="28">
        <f>IF(AND($A7&lt;&gt;"",$B7="Program"),SUMIFS($J$6:$J$305,$C$6:$C$305,$A7,$B$6:$B$305,"Project",$D$6:$D$305,"&lt;&gt;Proposed"),0)</f>
        <v/>
      </c>
      <c r="W7" s="28">
        <f>IF(AND($A7&lt;&gt;"",$B7="Program"),COUNTIFS($C$6:$C$305,$A7,$B$6:$B$305,"Project",$D$6:$D$305,"&lt;&gt;Proposed")-COUNTIFS($C$6:$C$305,$A7,$B$6:$B$305,"Project",$D$6:$D$305,"&lt;&gt;Proposed",$J$6:$J$305,"&gt;=0"),0)</f>
        <v/>
      </c>
      <c r="X7" s="28">
        <f>IF(OR($Q7=0,$H7="",$AF7="Sprint"),0,IF(AND($B7="Project",$H7&lt;TODAY()),3,IF($U7="",0,IF($U7&lt;=$H7,1,IF(NETWORKDAYS($H7,$U7)-1&gt;IF($B7="Program",Checks!$B$7,Checks!$B$6),3,2)))))</f>
        <v/>
      </c>
      <c r="Y7" s="28">
        <f>IF(OR($Q7=0,$K7="",$K7=0,$AF7="Sprint"),0,IF(AND($B7="Project",$J7=""),0,IF(IF($B7="Program",$V7,$J7)&gt;$K7*(1+Checks!$B$8),3,IF(IF($B7="Program",$V7,$J7)&gt;$K7,2,IF(AND($B7="Program",OR($W7&gt;0,$V7=0)),0,1)))))</f>
        <v/>
      </c>
      <c r="Z7" s="28">
        <f>IF($A7="",0,IF($C7="Portfolio",1,IF(AND($B7="Project",$C7&lt;&gt;"",$C7&lt;&gt;"Outside the portfolio"),IFERROR(IF(AND(INDEX($B$6:$B$305,MATCH($C7,$A$6:$A$305,0))="Program",INDEX($C$6:$C$305,MATCH($C7,$A$6:$A$305,0))="Portfolio"),1,0),0),0)))</f>
        <v/>
      </c>
      <c r="AA7" s="28">
        <f>IF(AND($A7&lt;&gt;"",$E7="",OR($Q7=1,$D7="Proposed")),1,0)</f>
        <v/>
      </c>
      <c r="AB7" s="28">
        <f>IF(AND($A7&lt;&gt;"",$B7="Program",$F7="",$Q7=1),1,0)</f>
        <v/>
      </c>
      <c r="AC7" s="28">
        <f>IF(OR($A7="",$D7="Completed",$D7="Terminated"),0,IF($C7="",1,IF($C7="Portfolio",0,IF($C7="Outside the portfolio",IF($Q7=1,2,0),IF($B7="Project",IF(IFERROR(INDEX($B$6:$B$305,MATCH($C7,$A$6:$A$305,0)),"")="Program",0,1),1)))))</f>
        <v/>
      </c>
      <c r="AD7" s="28">
        <f>IF(AND($A7&lt;&gt;"",OR($M7="■ Red",$M7="◧ Amber"),$L7=""),1,0)</f>
        <v/>
      </c>
      <c r="AE7" s="28">
        <f>$AA7+$AB7+IF($AC7&gt;0,1,0)+$AD7+$AG7+$AH7</f>
        <v/>
      </c>
      <c r="AF7" s="25" t="inlineStr">
        <is>
          <t>Waterfall</t>
        </is>
      </c>
      <c r="AG7" s="28">
        <f>IF(AND($A7&lt;&gt;"",$K7&lt;&gt;"",$C7&lt;&gt;"Portfolio",$D7&lt;&gt;"Completed",$D7&lt;&gt;"Terminated"),1,0)</f>
        <v/>
      </c>
      <c r="AH7" s="28">
        <f>IF(AND($A7&lt;&gt;"",COUNTIF($A$6:$A$305,$A7)&gt;1),1,0)</f>
        <v/>
      </c>
      <c r="AI7" s="28">
        <f>IF(AND($A7&lt;&gt;"",$C7="Portfolio"),COUNTIFS($C$6:$C7,"Portfolio",$A$6:$A7,"&lt;&gt;"),"")</f>
        <v/>
      </c>
    </row>
    <row r="8">
      <c r="A8" s="25" t="inlineStr">
        <is>
          <t>Billing and Payments Program</t>
        </is>
      </c>
      <c r="B8" s="25" t="inlineStr">
        <is>
          <t>Program</t>
        </is>
      </c>
      <c r="C8" s="25" t="inlineStr">
        <is>
          <t>Portfolio</t>
        </is>
      </c>
      <c r="D8" s="25" t="inlineStr">
        <is>
          <t>Active</t>
        </is>
      </c>
      <c r="E8" s="25" t="inlineStr">
        <is>
          <t>Hugo (Program Manager)</t>
        </is>
      </c>
      <c r="F8" s="25" t="n"/>
      <c r="G8" s="25" t="inlineStr">
        <is>
          <t>Move all billing to the new engine before renewals</t>
        </is>
      </c>
      <c r="H8" s="26" t="n">
        <v>46568</v>
      </c>
      <c r="I8" s="26" t="n"/>
      <c r="J8" s="27" t="n"/>
      <c r="K8" s="27" t="n">
        <v>900000</v>
      </c>
      <c r="L8" s="23" t="n"/>
      <c r="M8" s="28">
        <f>IF($A8="","",IF($D8="","Not read",IF($Q8=0,"Not counted",IF(MAX($X8,$Y8)=3,"■ Red",IF(MAX($X8,$Y8)=2,"◧ Amber",IF(MAX($X8,$Y8)=1,"□ On track","Not read"))))))</f>
        <v/>
      </c>
      <c r="N8" s="28">
        <f>IF(OR($A8="",$B8&lt;&gt;"Program"),"","■ "&amp;COUNTIFS($C$6:$C$305,$A8,$M$6:$M$305,"■ Red")&amp;" Red, ◧ "&amp;COUNTIFS($C$6:$C$305,$A8,$M$6:$M$305,"◧ Amber")&amp;" Amber")</f>
        <v/>
      </c>
      <c r="O8" s="29">
        <f>IF(OR($A8="",$E8=""),"",COUNTIFS($E$6:$E$305,$E8,$D$6:$D$305,"Active")+COUNTIFS($E$6:$E$305,$E8,$D$6:$D$305,"Paused"))</f>
        <v/>
      </c>
      <c r="P8" s="28">
        <f>IF($A8="","",IF($AE8=0,"○ Clear",IF($AA8=1,"△ No owner",IF($AC8=1,"△ Check Sits under",IF($AC8=2,"△ Outside the portfolio",IF($AB8=1,"△ No sponsor",IF($AH8=1,"△ Name used twice",IF($AG8=1,"△ Budget only counts under Portfolio","△ No variance note"))))))&amp;IF($AE8&gt;1," (+"&amp;($AE8-1)&amp;" more)","")))</f>
        <v/>
      </c>
      <c r="Q8" s="28">
        <f>IF(AND($A8&lt;&gt;"",OR($D8="Active",$D8="Paused")),1,0)</f>
        <v/>
      </c>
      <c r="R8" s="28">
        <f>IFERROR(INDEX($A$6:$A$305,MATCH(1,$S$6:$S$305,0)),"")</f>
        <v/>
      </c>
      <c r="S8" s="28">
        <f>IF(AND($A8&lt;&gt;"",$B8="Program"),COUNTIFS($B$6:$B8,"Program",$A$6:$A8,"&lt;&gt;"),"")</f>
        <v/>
      </c>
      <c r="T8" s="30">
        <f>IF(AND($A8&lt;&gt;"",$B8="Program"),SUMPRODUCT(MAX(($C$6:$C$305=$A8)*($B$6:$B$305="Project")*($D$6:$D$305&lt;&gt;"Proposed")*$I$6:$I$305)),0)</f>
        <v/>
      </c>
      <c r="U8" s="30">
        <f>IF($I8&lt;&gt;"",$I8,IF($T8&gt;0,$T8,""))</f>
        <v/>
      </c>
      <c r="V8" s="28">
        <f>IF(AND($A8&lt;&gt;"",$B8="Program"),SUMIFS($J$6:$J$305,$C$6:$C$305,$A8,$B$6:$B$305,"Project",$D$6:$D$305,"&lt;&gt;Proposed"),0)</f>
        <v/>
      </c>
      <c r="W8" s="28">
        <f>IF(AND($A8&lt;&gt;"",$B8="Program"),COUNTIFS($C$6:$C$305,$A8,$B$6:$B$305,"Project",$D$6:$D$305,"&lt;&gt;Proposed")-COUNTIFS($C$6:$C$305,$A8,$B$6:$B$305,"Project",$D$6:$D$305,"&lt;&gt;Proposed",$J$6:$J$305,"&gt;=0"),0)</f>
        <v/>
      </c>
      <c r="X8" s="28">
        <f>IF(OR($Q8=0,$H8="",$AF8="Sprint"),0,IF(AND($B8="Project",$H8&lt;TODAY()),3,IF($U8="",0,IF($U8&lt;=$H8,1,IF(NETWORKDAYS($H8,$U8)-1&gt;IF($B8="Program",Checks!$B$7,Checks!$B$6),3,2)))))</f>
        <v/>
      </c>
      <c r="Y8" s="28">
        <f>IF(OR($Q8=0,$K8="",$K8=0,$AF8="Sprint"),0,IF(AND($B8="Project",$J8=""),0,IF(IF($B8="Program",$V8,$J8)&gt;$K8*(1+Checks!$B$8),3,IF(IF($B8="Program",$V8,$J8)&gt;$K8,2,IF(AND($B8="Program",OR($W8&gt;0,$V8=0)),0,1)))))</f>
        <v/>
      </c>
      <c r="Z8" s="28">
        <f>IF($A8="",0,IF($C8="Portfolio",1,IF(AND($B8="Project",$C8&lt;&gt;"",$C8&lt;&gt;"Outside the portfolio"),IFERROR(IF(AND(INDEX($B$6:$B$305,MATCH($C8,$A$6:$A$305,0))="Program",INDEX($C$6:$C$305,MATCH($C8,$A$6:$A$305,0))="Portfolio"),1,0),0),0)))</f>
        <v/>
      </c>
      <c r="AA8" s="28">
        <f>IF(AND($A8&lt;&gt;"",$E8="",OR($Q8=1,$D8="Proposed")),1,0)</f>
        <v/>
      </c>
      <c r="AB8" s="28">
        <f>IF(AND($A8&lt;&gt;"",$B8="Program",$F8="",$Q8=1),1,0)</f>
        <v/>
      </c>
      <c r="AC8" s="28">
        <f>IF(OR($A8="",$D8="Completed",$D8="Terminated"),0,IF($C8="",1,IF($C8="Portfolio",0,IF($C8="Outside the portfolio",IF($Q8=1,2,0),IF($B8="Project",IF(IFERROR(INDEX($B$6:$B$305,MATCH($C8,$A$6:$A$305,0)),"")="Program",0,1),1)))))</f>
        <v/>
      </c>
      <c r="AD8" s="28">
        <f>IF(AND($A8&lt;&gt;"",OR($M8="■ Red",$M8="◧ Amber"),$L8=""),1,0)</f>
        <v/>
      </c>
      <c r="AE8" s="28">
        <f>$AA8+$AB8+IF($AC8&gt;0,1,0)+$AD8+$AG8+$AH8</f>
        <v/>
      </c>
      <c r="AF8" s="25" t="n"/>
      <c r="AG8" s="28">
        <f>IF(AND($A8&lt;&gt;"",$K8&lt;&gt;"",$C8&lt;&gt;"Portfolio",$D8&lt;&gt;"Completed",$D8&lt;&gt;"Terminated"),1,0)</f>
        <v/>
      </c>
      <c r="AH8" s="28">
        <f>IF(AND($A8&lt;&gt;"",COUNTIF($A$6:$A$305,$A8)&gt;1),1,0)</f>
        <v/>
      </c>
      <c r="AI8" s="28">
        <f>IF(AND($A8&lt;&gt;"",$C8="Portfolio"),COUNTIFS($C$6:$C8,"Portfolio",$A$6:$A8,"&lt;&gt;"),"")</f>
        <v/>
      </c>
    </row>
    <row r="9">
      <c r="A9" s="25" t="inlineStr">
        <is>
          <t>Billing Engine Rewrite</t>
        </is>
      </c>
      <c r="B9" s="25" t="inlineStr">
        <is>
          <t>Project</t>
        </is>
      </c>
      <c r="C9" s="25" t="inlineStr">
        <is>
          <t>Billing and Payments Program</t>
        </is>
      </c>
      <c r="D9" s="25" t="inlineStr">
        <is>
          <t>Active</t>
        </is>
      </c>
      <c r="E9" s="25" t="inlineStr">
        <is>
          <t>Anders (Engineering Manager)</t>
        </is>
      </c>
      <c r="F9" s="25" t="n"/>
      <c r="G9" s="25" t="inlineStr">
        <is>
          <t>Move all billing to the new engine before renewals</t>
        </is>
      </c>
      <c r="H9" s="26" t="n">
        <v>46568</v>
      </c>
      <c r="I9" s="26" t="n">
        <v>46568</v>
      </c>
      <c r="J9" s="27" t="n">
        <v>780000</v>
      </c>
      <c r="K9" s="27" t="n"/>
      <c r="L9" s="23" t="n"/>
      <c r="M9" s="28">
        <f>IF($A9="","",IF($D9="","Not read",IF($Q9=0,"Not counted",IF(MAX($X9,$Y9)=3,"■ Red",IF(MAX($X9,$Y9)=2,"◧ Amber",IF(MAX($X9,$Y9)=1,"□ On track","Not read"))))))</f>
        <v/>
      </c>
      <c r="N9" s="28">
        <f>IF(OR($A9="",$B9&lt;&gt;"Program"),"","■ "&amp;COUNTIFS($C$6:$C$305,$A9,$M$6:$M$305,"■ Red")&amp;" Red, ◧ "&amp;COUNTIFS($C$6:$C$305,$A9,$M$6:$M$305,"◧ Amber")&amp;" Amber")</f>
        <v/>
      </c>
      <c r="O9" s="29">
        <f>IF(OR($A9="",$E9=""),"",COUNTIFS($E$6:$E$305,$E9,$D$6:$D$305,"Active")+COUNTIFS($E$6:$E$305,$E9,$D$6:$D$305,"Paused"))</f>
        <v/>
      </c>
      <c r="P9" s="28">
        <f>IF($A9="","",IF($AE9=0,"○ Clear",IF($AA9=1,"△ No owner",IF($AC9=1,"△ Check Sits under",IF($AC9=2,"△ Outside the portfolio",IF($AB9=1,"△ No sponsor",IF($AH9=1,"△ Name used twice",IF($AG9=1,"△ Budget only counts under Portfolio","△ No variance note"))))))&amp;IF($AE9&gt;1," (+"&amp;($AE9-1)&amp;" more)","")))</f>
        <v/>
      </c>
      <c r="Q9" s="28">
        <f>IF(AND($A9&lt;&gt;"",OR($D9="Active",$D9="Paused")),1,0)</f>
        <v/>
      </c>
      <c r="R9" s="28">
        <f>IFERROR(INDEX($A$6:$A$305,MATCH(2,$S$6:$S$305,0)),"")</f>
        <v/>
      </c>
      <c r="S9" s="28">
        <f>IF(AND($A9&lt;&gt;"",$B9="Program"),COUNTIFS($B$6:$B9,"Program",$A$6:$A9,"&lt;&gt;"),"")</f>
        <v/>
      </c>
      <c r="T9" s="30">
        <f>IF(AND($A9&lt;&gt;"",$B9="Program"),SUMPRODUCT(MAX(($C$6:$C$305=$A9)*($B$6:$B$305="Project")*($D$6:$D$305&lt;&gt;"Proposed")*$I$6:$I$305)),0)</f>
        <v/>
      </c>
      <c r="U9" s="30">
        <f>IF($I9&lt;&gt;"",$I9,IF($T9&gt;0,$T9,""))</f>
        <v/>
      </c>
      <c r="V9" s="28">
        <f>IF(AND($A9&lt;&gt;"",$B9="Program"),SUMIFS($J$6:$J$305,$C$6:$C$305,$A9,$B$6:$B$305,"Project",$D$6:$D$305,"&lt;&gt;Proposed"),0)</f>
        <v/>
      </c>
      <c r="W9" s="28">
        <f>IF(AND($A9&lt;&gt;"",$B9="Program"),COUNTIFS($C$6:$C$305,$A9,$B$6:$B$305,"Project",$D$6:$D$305,"&lt;&gt;Proposed")-COUNTIFS($C$6:$C$305,$A9,$B$6:$B$305,"Project",$D$6:$D$305,"&lt;&gt;Proposed",$J$6:$J$305,"&gt;=0"),0)</f>
        <v/>
      </c>
      <c r="X9" s="28">
        <f>IF(OR($Q9=0,$H9="",$AF9="Sprint"),0,IF(AND($B9="Project",$H9&lt;TODAY()),3,IF($U9="",0,IF($U9&lt;=$H9,1,IF(NETWORKDAYS($H9,$U9)-1&gt;IF($B9="Program",Checks!$B$7,Checks!$B$6),3,2)))))</f>
        <v/>
      </c>
      <c r="Y9" s="28">
        <f>IF(OR($Q9=0,$K9="",$K9=0,$AF9="Sprint"),0,IF(AND($B9="Project",$J9=""),0,IF(IF($B9="Program",$V9,$J9)&gt;$K9*(1+Checks!$B$8),3,IF(IF($B9="Program",$V9,$J9)&gt;$K9,2,IF(AND($B9="Program",OR($W9&gt;0,$V9=0)),0,1)))))</f>
        <v/>
      </c>
      <c r="Z9" s="28">
        <f>IF($A9="",0,IF($C9="Portfolio",1,IF(AND($B9="Project",$C9&lt;&gt;"",$C9&lt;&gt;"Outside the portfolio"),IFERROR(IF(AND(INDEX($B$6:$B$305,MATCH($C9,$A$6:$A$305,0))="Program",INDEX($C$6:$C$305,MATCH($C9,$A$6:$A$305,0))="Portfolio"),1,0),0),0)))</f>
        <v/>
      </c>
      <c r="AA9" s="28">
        <f>IF(AND($A9&lt;&gt;"",$E9="",OR($Q9=1,$D9="Proposed")),1,0)</f>
        <v/>
      </c>
      <c r="AB9" s="28">
        <f>IF(AND($A9&lt;&gt;"",$B9="Program",$F9="",$Q9=1),1,0)</f>
        <v/>
      </c>
      <c r="AC9" s="28">
        <f>IF(OR($A9="",$D9="Completed",$D9="Terminated"),0,IF($C9="",1,IF($C9="Portfolio",0,IF($C9="Outside the portfolio",IF($Q9=1,2,0),IF($B9="Project",IF(IFERROR(INDEX($B$6:$B$305,MATCH($C9,$A$6:$A$305,0)),"")="Program",0,1),1)))))</f>
        <v/>
      </c>
      <c r="AD9" s="28">
        <f>IF(AND($A9&lt;&gt;"",OR($M9="■ Red",$M9="◧ Amber"),$L9=""),1,0)</f>
        <v/>
      </c>
      <c r="AE9" s="28">
        <f>$AA9+$AB9+IF($AC9&gt;0,1,0)+$AD9+$AG9+$AH9</f>
        <v/>
      </c>
      <c r="AF9" s="25" t="inlineStr">
        <is>
          <t>Waterfall</t>
        </is>
      </c>
      <c r="AG9" s="28">
        <f>IF(AND($A9&lt;&gt;"",$K9&lt;&gt;"",$C9&lt;&gt;"Portfolio",$D9&lt;&gt;"Completed",$D9&lt;&gt;"Terminated"),1,0)</f>
        <v/>
      </c>
      <c r="AH9" s="28">
        <f>IF(AND($A9&lt;&gt;"",COUNTIF($A$6:$A$305,$A9)&gt;1),1,0)</f>
        <v/>
      </c>
      <c r="AI9" s="28">
        <f>IF(AND($A9&lt;&gt;"",$C9="Portfolio"),COUNTIFS($C$6:$C9,"Portfolio",$A$6:$A9,"&lt;&gt;"),"")</f>
        <v/>
      </c>
    </row>
    <row r="10">
      <c r="A10" s="25" t="inlineStr">
        <is>
          <t>Invoice Tax Rules</t>
        </is>
      </c>
      <c r="B10" s="25" t="inlineStr">
        <is>
          <t>Project</t>
        </is>
      </c>
      <c r="C10" s="25" t="inlineStr">
        <is>
          <t>Billing and Payments Program</t>
        </is>
      </c>
      <c r="D10" s="25" t="inlineStr">
        <is>
          <t>Proposed</t>
        </is>
      </c>
      <c r="E10" s="25" t="inlineStr">
        <is>
          <t>Hugo (Program Manager)</t>
        </is>
      </c>
      <c r="F10" s="25" t="n"/>
      <c r="G10" s="25" t="n"/>
      <c r="H10" s="26" t="n"/>
      <c r="I10" s="26" t="n"/>
      <c r="J10" s="27" t="n"/>
      <c r="K10" s="27" t="n"/>
      <c r="L10" s="23" t="n"/>
      <c r="M10" s="28">
        <f>IF($A10="","",IF($D10="","Not read",IF($Q10=0,"Not counted",IF(MAX($X10,$Y10)=3,"■ Red",IF(MAX($X10,$Y10)=2,"◧ Amber",IF(MAX($X10,$Y10)=1,"□ On track","Not read"))))))</f>
        <v/>
      </c>
      <c r="N10" s="28">
        <f>IF(OR($A10="",$B10&lt;&gt;"Program"),"","■ "&amp;COUNTIFS($C$6:$C$305,$A10,$M$6:$M$305,"■ Red")&amp;" Red, ◧ "&amp;COUNTIFS($C$6:$C$305,$A10,$M$6:$M$305,"◧ Amber")&amp;" Amber")</f>
        <v/>
      </c>
      <c r="O10" s="29">
        <f>IF(OR($A10="",$E10=""),"",COUNTIFS($E$6:$E$305,$E10,$D$6:$D$305,"Active")+COUNTIFS($E$6:$E$305,$E10,$D$6:$D$305,"Paused"))</f>
        <v/>
      </c>
      <c r="P10" s="28">
        <f>IF($A10="","",IF($AE10=0,"○ Clear",IF($AA10=1,"△ No owner",IF($AC10=1,"△ Check Sits under",IF($AC10=2,"△ Outside the portfolio",IF($AB10=1,"△ No sponsor",IF($AH10=1,"△ Name used twice",IF($AG10=1,"△ Budget only counts under Portfolio","△ No variance note"))))))&amp;IF($AE10&gt;1," (+"&amp;($AE10-1)&amp;" more)","")))</f>
        <v/>
      </c>
      <c r="Q10" s="28">
        <f>IF(AND($A10&lt;&gt;"",OR($D10="Active",$D10="Paused")),1,0)</f>
        <v/>
      </c>
      <c r="R10" s="28">
        <f>IFERROR(INDEX($A$6:$A$305,MATCH(3,$S$6:$S$305,0)),"")</f>
        <v/>
      </c>
      <c r="S10" s="28">
        <f>IF(AND($A10&lt;&gt;"",$B10="Program"),COUNTIFS($B$6:$B10,"Program",$A$6:$A10,"&lt;&gt;"),"")</f>
        <v/>
      </c>
      <c r="T10" s="30">
        <f>IF(AND($A10&lt;&gt;"",$B10="Program"),SUMPRODUCT(MAX(($C$6:$C$305=$A10)*($B$6:$B$305="Project")*($D$6:$D$305&lt;&gt;"Proposed")*$I$6:$I$305)),0)</f>
        <v/>
      </c>
      <c r="U10" s="30">
        <f>IF($I10&lt;&gt;"",$I10,IF($T10&gt;0,$T10,""))</f>
        <v/>
      </c>
      <c r="V10" s="28">
        <f>IF(AND($A10&lt;&gt;"",$B10="Program"),SUMIFS($J$6:$J$305,$C$6:$C$305,$A10,$B$6:$B$305,"Project",$D$6:$D$305,"&lt;&gt;Proposed"),0)</f>
        <v/>
      </c>
      <c r="W10" s="28">
        <f>IF(AND($A10&lt;&gt;"",$B10="Program"),COUNTIFS($C$6:$C$305,$A10,$B$6:$B$305,"Project",$D$6:$D$305,"&lt;&gt;Proposed")-COUNTIFS($C$6:$C$305,$A10,$B$6:$B$305,"Project",$D$6:$D$305,"&lt;&gt;Proposed",$J$6:$J$305,"&gt;=0"),0)</f>
        <v/>
      </c>
      <c r="X10" s="28">
        <f>IF(OR($Q10=0,$H10="",$AF10="Sprint"),0,IF(AND($B10="Project",$H10&lt;TODAY()),3,IF($U10="",0,IF($U10&lt;=$H10,1,IF(NETWORKDAYS($H10,$U10)-1&gt;IF($B10="Program",Checks!$B$7,Checks!$B$6),3,2)))))</f>
        <v/>
      </c>
      <c r="Y10" s="28">
        <f>IF(OR($Q10=0,$K10="",$K10=0,$AF10="Sprint"),0,IF(AND($B10="Project",$J10=""),0,IF(IF($B10="Program",$V10,$J10)&gt;$K10*(1+Checks!$B$8),3,IF(IF($B10="Program",$V10,$J10)&gt;$K10,2,IF(AND($B10="Program",OR($W10&gt;0,$V10=0)),0,1)))))</f>
        <v/>
      </c>
      <c r="Z10" s="28">
        <f>IF($A10="",0,IF($C10="Portfolio",1,IF(AND($B10="Project",$C10&lt;&gt;"",$C10&lt;&gt;"Outside the portfolio"),IFERROR(IF(AND(INDEX($B$6:$B$305,MATCH($C10,$A$6:$A$305,0))="Program",INDEX($C$6:$C$305,MATCH($C10,$A$6:$A$305,0))="Portfolio"),1,0),0),0)))</f>
        <v/>
      </c>
      <c r="AA10" s="28">
        <f>IF(AND($A10&lt;&gt;"",$E10="",OR($Q10=1,$D10="Proposed")),1,0)</f>
        <v/>
      </c>
      <c r="AB10" s="28">
        <f>IF(AND($A10&lt;&gt;"",$B10="Program",$F10="",$Q10=1),1,0)</f>
        <v/>
      </c>
      <c r="AC10" s="28">
        <f>IF(OR($A10="",$D10="Completed",$D10="Terminated"),0,IF($C10="",1,IF($C10="Portfolio",0,IF($C10="Outside the portfolio",IF($Q10=1,2,0),IF($B10="Project",IF(IFERROR(INDEX($B$6:$B$305,MATCH($C10,$A$6:$A$305,0)),"")="Program",0,1),1)))))</f>
        <v/>
      </c>
      <c r="AD10" s="28">
        <f>IF(AND($A10&lt;&gt;"",OR($M10="■ Red",$M10="◧ Amber"),$L10=""),1,0)</f>
        <v/>
      </c>
      <c r="AE10" s="28">
        <f>$AA10+$AB10+IF($AC10&gt;0,1,0)+$AD10+$AG10+$AH10</f>
        <v/>
      </c>
      <c r="AF10" s="25" t="inlineStr">
        <is>
          <t>Waterfall</t>
        </is>
      </c>
      <c r="AG10" s="28">
        <f>IF(AND($A10&lt;&gt;"",$K10&lt;&gt;"",$C10&lt;&gt;"Portfolio",$D10&lt;&gt;"Completed",$D10&lt;&gt;"Terminated"),1,0)</f>
        <v/>
      </c>
      <c r="AH10" s="28">
        <f>IF(AND($A10&lt;&gt;"",COUNTIF($A$6:$A$305,$A10)&gt;1),1,0)</f>
        <v/>
      </c>
      <c r="AI10" s="28">
        <f>IF(AND($A10&lt;&gt;"",$C10="Portfolio"),COUNTIFS($C$6:$C10,"Portfolio",$A$6:$A10,"&lt;&gt;"),"")</f>
        <v/>
      </c>
    </row>
    <row r="11">
      <c r="A11" s="25" t="inlineStr">
        <is>
          <t>Security and Compliance Program</t>
        </is>
      </c>
      <c r="B11" s="25" t="inlineStr">
        <is>
          <t>Program</t>
        </is>
      </c>
      <c r="C11" s="25" t="inlineStr">
        <is>
          <t>Portfolio</t>
        </is>
      </c>
      <c r="D11" s="25" t="inlineStr">
        <is>
          <t>Active</t>
        </is>
      </c>
      <c r="E11" s="25" t="inlineStr">
        <is>
          <t>Imani (Security Lead)</t>
        </is>
      </c>
      <c r="F11" s="25" t="inlineStr">
        <is>
          <t>Priya (CTO)</t>
        </is>
      </c>
      <c r="G11" s="25" t="inlineStr">
        <is>
          <t>Pass the annual audit with no major findings</t>
        </is>
      </c>
      <c r="H11" s="26" t="n">
        <v>46416</v>
      </c>
      <c r="I11" s="26" t="n"/>
      <c r="J11" s="27" t="n"/>
      <c r="K11" s="27" t="n">
        <v>350000</v>
      </c>
      <c r="L11" s="23" t="n"/>
      <c r="M11" s="28">
        <f>IF($A11="","",IF($D11="","Not read",IF($Q11=0,"Not counted",IF(MAX($X11,$Y11)=3,"■ Red",IF(MAX($X11,$Y11)=2,"◧ Amber",IF(MAX($X11,$Y11)=1,"□ On track","Not read"))))))</f>
        <v/>
      </c>
      <c r="N11" s="28">
        <f>IF(OR($A11="",$B11&lt;&gt;"Program"),"","■ "&amp;COUNTIFS($C$6:$C$305,$A11,$M$6:$M$305,"■ Red")&amp;" Red, ◧ "&amp;COUNTIFS($C$6:$C$305,$A11,$M$6:$M$305,"◧ Amber")&amp;" Amber")</f>
        <v/>
      </c>
      <c r="O11" s="29">
        <f>IF(OR($A11="",$E11=""),"",COUNTIFS($E$6:$E$305,$E11,$D$6:$D$305,"Active")+COUNTIFS($E$6:$E$305,$E11,$D$6:$D$305,"Paused"))</f>
        <v/>
      </c>
      <c r="P11" s="28">
        <f>IF($A11="","",IF($AE11=0,"○ Clear",IF($AA11=1,"△ No owner",IF($AC11=1,"△ Check Sits under",IF($AC11=2,"△ Outside the portfolio",IF($AB11=1,"△ No sponsor",IF($AH11=1,"△ Name used twice",IF($AG11=1,"△ Budget only counts under Portfolio","△ No variance note"))))))&amp;IF($AE11&gt;1," (+"&amp;($AE11-1)&amp;" more)","")))</f>
        <v/>
      </c>
      <c r="Q11" s="28">
        <f>IF(AND($A11&lt;&gt;"",OR($D11="Active",$D11="Paused")),1,0)</f>
        <v/>
      </c>
      <c r="R11" s="28">
        <f>IFERROR(INDEX($A$6:$A$305,MATCH(4,$S$6:$S$305,0)),"")</f>
        <v/>
      </c>
      <c r="S11" s="28">
        <f>IF(AND($A11&lt;&gt;"",$B11="Program"),COUNTIFS($B$6:$B11,"Program",$A$6:$A11,"&lt;&gt;"),"")</f>
        <v/>
      </c>
      <c r="T11" s="30">
        <f>IF(AND($A11&lt;&gt;"",$B11="Program"),SUMPRODUCT(MAX(($C$6:$C$305=$A11)*($B$6:$B$305="Project")*($D$6:$D$305&lt;&gt;"Proposed")*$I$6:$I$305)),0)</f>
        <v/>
      </c>
      <c r="U11" s="30">
        <f>IF($I11&lt;&gt;"",$I11,IF($T11&gt;0,$T11,""))</f>
        <v/>
      </c>
      <c r="V11" s="28">
        <f>IF(AND($A11&lt;&gt;"",$B11="Program"),SUMIFS($J$6:$J$305,$C$6:$C$305,$A11,$B$6:$B$305,"Project",$D$6:$D$305,"&lt;&gt;Proposed"),0)</f>
        <v/>
      </c>
      <c r="W11" s="28">
        <f>IF(AND($A11&lt;&gt;"",$B11="Program"),COUNTIFS($C$6:$C$305,$A11,$B$6:$B$305,"Project",$D$6:$D$305,"&lt;&gt;Proposed")-COUNTIFS($C$6:$C$305,$A11,$B$6:$B$305,"Project",$D$6:$D$305,"&lt;&gt;Proposed",$J$6:$J$305,"&gt;=0"),0)</f>
        <v/>
      </c>
      <c r="X11" s="28">
        <f>IF(OR($Q11=0,$H11="",$AF11="Sprint"),0,IF(AND($B11="Project",$H11&lt;TODAY()),3,IF($U11="",0,IF($U11&lt;=$H11,1,IF(NETWORKDAYS($H11,$U11)-1&gt;IF($B11="Program",Checks!$B$7,Checks!$B$6),3,2)))))</f>
        <v/>
      </c>
      <c r="Y11" s="28">
        <f>IF(OR($Q11=0,$K11="",$K11=0,$AF11="Sprint"),0,IF(AND($B11="Project",$J11=""),0,IF(IF($B11="Program",$V11,$J11)&gt;$K11*(1+Checks!$B$8),3,IF(IF($B11="Program",$V11,$J11)&gt;$K11,2,IF(AND($B11="Program",OR($W11&gt;0,$V11=0)),0,1)))))</f>
        <v/>
      </c>
      <c r="Z11" s="28">
        <f>IF($A11="",0,IF($C11="Portfolio",1,IF(AND($B11="Project",$C11&lt;&gt;"",$C11&lt;&gt;"Outside the portfolio"),IFERROR(IF(AND(INDEX($B$6:$B$305,MATCH($C11,$A$6:$A$305,0))="Program",INDEX($C$6:$C$305,MATCH($C11,$A$6:$A$305,0))="Portfolio"),1,0),0),0)))</f>
        <v/>
      </c>
      <c r="AA11" s="28">
        <f>IF(AND($A11&lt;&gt;"",$E11="",OR($Q11=1,$D11="Proposed")),1,0)</f>
        <v/>
      </c>
      <c r="AB11" s="28">
        <f>IF(AND($A11&lt;&gt;"",$B11="Program",$F11="",$Q11=1),1,0)</f>
        <v/>
      </c>
      <c r="AC11" s="28">
        <f>IF(OR($A11="",$D11="Completed",$D11="Terminated"),0,IF($C11="",1,IF($C11="Portfolio",0,IF($C11="Outside the portfolio",IF($Q11=1,2,0),IF($B11="Project",IF(IFERROR(INDEX($B$6:$B$305,MATCH($C11,$A$6:$A$305,0)),"")="Program",0,1),1)))))</f>
        <v/>
      </c>
      <c r="AD11" s="28">
        <f>IF(AND($A11&lt;&gt;"",OR($M11="■ Red",$M11="◧ Amber"),$L11=""),1,0)</f>
        <v/>
      </c>
      <c r="AE11" s="28">
        <f>$AA11+$AB11+IF($AC11&gt;0,1,0)+$AD11+$AG11+$AH11</f>
        <v/>
      </c>
      <c r="AF11" s="25" t="n"/>
      <c r="AG11" s="28">
        <f>IF(AND($A11&lt;&gt;"",$K11&lt;&gt;"",$C11&lt;&gt;"Portfolio",$D11&lt;&gt;"Completed",$D11&lt;&gt;"Terminated"),1,0)</f>
        <v/>
      </c>
      <c r="AH11" s="28">
        <f>IF(AND($A11&lt;&gt;"",COUNTIF($A$6:$A$305,$A11)&gt;1),1,0)</f>
        <v/>
      </c>
      <c r="AI11" s="28">
        <f>IF(AND($A11&lt;&gt;"",$C11="Portfolio"),COUNTIFS($C$6:$C11,"Portfolio",$A$6:$A11,"&lt;&gt;"),"")</f>
        <v/>
      </c>
    </row>
    <row r="12">
      <c r="A12" s="25" t="inlineStr">
        <is>
          <t>Penetration Test Remediation</t>
        </is>
      </c>
      <c r="B12" s="25" t="inlineStr">
        <is>
          <t>Project</t>
        </is>
      </c>
      <c r="C12" s="25" t="inlineStr">
        <is>
          <t>Security and Compliance Program</t>
        </is>
      </c>
      <c r="D12" s="25" t="inlineStr">
        <is>
          <t>Active</t>
        </is>
      </c>
      <c r="E12" s="25" t="inlineStr">
        <is>
          <t>Imani (Security Lead)</t>
        </is>
      </c>
      <c r="F12" s="25" t="n"/>
      <c r="G12" s="25" t="inlineStr">
        <is>
          <t>Pass the annual audit with no major findings</t>
        </is>
      </c>
      <c r="H12" s="26" t="n">
        <v>46304</v>
      </c>
      <c r="I12" s="26" t="n">
        <v>46325</v>
      </c>
      <c r="J12" s="27" t="n">
        <v>40000</v>
      </c>
      <c r="K12" s="27" t="n"/>
      <c r="L12" s="23" t="inlineStr">
        <is>
          <t>Two criticals closed; the third needs a vendor patch. Imani</t>
        </is>
      </c>
      <c r="M12" s="28">
        <f>IF($A12="","",IF($D12="","Not read",IF($Q12=0,"Not counted",IF(MAX($X12,$Y12)=3,"■ Red",IF(MAX($X12,$Y12)=2,"◧ Amber",IF(MAX($X12,$Y12)=1,"□ On track","Not read"))))))</f>
        <v/>
      </c>
      <c r="N12" s="28">
        <f>IF(OR($A12="",$B12&lt;&gt;"Program"),"","■ "&amp;COUNTIFS($C$6:$C$305,$A12,$M$6:$M$305,"■ Red")&amp;" Red, ◧ "&amp;COUNTIFS($C$6:$C$305,$A12,$M$6:$M$305,"◧ Amber")&amp;" Amber")</f>
        <v/>
      </c>
      <c r="O12" s="29">
        <f>IF(OR($A12="",$E12=""),"",COUNTIFS($E$6:$E$305,$E12,$D$6:$D$305,"Active")+COUNTIFS($E$6:$E$305,$E12,$D$6:$D$305,"Paused"))</f>
        <v/>
      </c>
      <c r="P12" s="28">
        <f>IF($A12="","",IF($AE12=0,"○ Clear",IF($AA12=1,"△ No owner",IF($AC12=1,"△ Check Sits under",IF($AC12=2,"△ Outside the portfolio",IF($AB12=1,"△ No sponsor",IF($AH12=1,"△ Name used twice",IF($AG12=1,"△ Budget only counts under Portfolio","△ No variance note"))))))&amp;IF($AE12&gt;1," (+"&amp;($AE12-1)&amp;" more)","")))</f>
        <v/>
      </c>
      <c r="Q12" s="28">
        <f>IF(AND($A12&lt;&gt;"",OR($D12="Active",$D12="Paused")),1,0)</f>
        <v/>
      </c>
      <c r="R12" s="28">
        <f>IFERROR(INDEX($A$6:$A$305,MATCH(5,$S$6:$S$305,0)),"")</f>
        <v/>
      </c>
      <c r="S12" s="28">
        <f>IF(AND($A12&lt;&gt;"",$B12="Program"),COUNTIFS($B$6:$B12,"Program",$A$6:$A12,"&lt;&gt;"),"")</f>
        <v/>
      </c>
      <c r="T12" s="30">
        <f>IF(AND($A12&lt;&gt;"",$B12="Program"),SUMPRODUCT(MAX(($C$6:$C$305=$A12)*($B$6:$B$305="Project")*($D$6:$D$305&lt;&gt;"Proposed")*$I$6:$I$305)),0)</f>
        <v/>
      </c>
      <c r="U12" s="30">
        <f>IF($I12&lt;&gt;"",$I12,IF($T12&gt;0,$T12,""))</f>
        <v/>
      </c>
      <c r="V12" s="28">
        <f>IF(AND($A12&lt;&gt;"",$B12="Program"),SUMIFS($J$6:$J$305,$C$6:$C$305,$A12,$B$6:$B$305,"Project",$D$6:$D$305,"&lt;&gt;Proposed"),0)</f>
        <v/>
      </c>
      <c r="W12" s="28">
        <f>IF(AND($A12&lt;&gt;"",$B12="Program"),COUNTIFS($C$6:$C$305,$A12,$B$6:$B$305,"Project",$D$6:$D$305,"&lt;&gt;Proposed")-COUNTIFS($C$6:$C$305,$A12,$B$6:$B$305,"Project",$D$6:$D$305,"&lt;&gt;Proposed",$J$6:$J$305,"&gt;=0"),0)</f>
        <v/>
      </c>
      <c r="X12" s="28">
        <f>IF(OR($Q12=0,$H12="",$AF12="Sprint"),0,IF(AND($B12="Project",$H12&lt;TODAY()),3,IF($U12="",0,IF($U12&lt;=$H12,1,IF(NETWORKDAYS($H12,$U12)-1&gt;IF($B12="Program",Checks!$B$7,Checks!$B$6),3,2)))))</f>
        <v/>
      </c>
      <c r="Y12" s="28">
        <f>IF(OR($Q12=0,$K12="",$K12=0,$AF12="Sprint"),0,IF(AND($B12="Project",$J12=""),0,IF(IF($B12="Program",$V12,$J12)&gt;$K12*(1+Checks!$B$8),3,IF(IF($B12="Program",$V12,$J12)&gt;$K12,2,IF(AND($B12="Program",OR($W12&gt;0,$V12=0)),0,1)))))</f>
        <v/>
      </c>
      <c r="Z12" s="28">
        <f>IF($A12="",0,IF($C12="Portfolio",1,IF(AND($B12="Project",$C12&lt;&gt;"",$C12&lt;&gt;"Outside the portfolio"),IFERROR(IF(AND(INDEX($B$6:$B$305,MATCH($C12,$A$6:$A$305,0))="Program",INDEX($C$6:$C$305,MATCH($C12,$A$6:$A$305,0))="Portfolio"),1,0),0),0)))</f>
        <v/>
      </c>
      <c r="AA12" s="28">
        <f>IF(AND($A12&lt;&gt;"",$E12="",OR($Q12=1,$D12="Proposed")),1,0)</f>
        <v/>
      </c>
      <c r="AB12" s="28">
        <f>IF(AND($A12&lt;&gt;"",$B12="Program",$F12="",$Q12=1),1,0)</f>
        <v/>
      </c>
      <c r="AC12" s="28">
        <f>IF(OR($A12="",$D12="Completed",$D12="Terminated"),0,IF($C12="",1,IF($C12="Portfolio",0,IF($C12="Outside the portfolio",IF($Q12=1,2,0),IF($B12="Project",IF(IFERROR(INDEX($B$6:$B$305,MATCH($C12,$A$6:$A$305,0)),"")="Program",0,1),1)))))</f>
        <v/>
      </c>
      <c r="AD12" s="28">
        <f>IF(AND($A12&lt;&gt;"",OR($M12="■ Red",$M12="◧ Amber"),$L12=""),1,0)</f>
        <v/>
      </c>
      <c r="AE12" s="28">
        <f>$AA12+$AB12+IF($AC12&gt;0,1,0)+$AD12+$AG12+$AH12</f>
        <v/>
      </c>
      <c r="AF12" s="25" t="inlineStr">
        <is>
          <t>Waterfall</t>
        </is>
      </c>
      <c r="AG12" s="28">
        <f>IF(AND($A12&lt;&gt;"",$K12&lt;&gt;"",$C12&lt;&gt;"Portfolio",$D12&lt;&gt;"Completed",$D12&lt;&gt;"Terminated"),1,0)</f>
        <v/>
      </c>
      <c r="AH12" s="28">
        <f>IF(AND($A12&lt;&gt;"",COUNTIF($A$6:$A$305,$A12)&gt;1),1,0)</f>
        <v/>
      </c>
      <c r="AI12" s="28">
        <f>IF(AND($A12&lt;&gt;"",$C12="Portfolio"),COUNTIFS($C$6:$C12,"Portfolio",$A$6:$A12,"&lt;&gt;"),"")</f>
        <v/>
      </c>
    </row>
    <row r="13">
      <c r="A13" s="25" t="inlineStr">
        <is>
          <t>Laptop Encryption Rollout</t>
        </is>
      </c>
      <c r="B13" s="25" t="inlineStr">
        <is>
          <t>Project</t>
        </is>
      </c>
      <c r="C13" s="25" t="inlineStr">
        <is>
          <t>Security and Compliance Program</t>
        </is>
      </c>
      <c r="D13" s="25" t="inlineStr">
        <is>
          <t>Active</t>
        </is>
      </c>
      <c r="E13" s="25" t="inlineStr">
        <is>
          <t>Imani (Security Lead)</t>
        </is>
      </c>
      <c r="F13" s="25" t="n"/>
      <c r="G13" s="25" t="n"/>
      <c r="H13" s="26" t="n">
        <v>46367</v>
      </c>
      <c r="I13" s="26" t="n">
        <v>46372</v>
      </c>
      <c r="J13" s="27" t="n">
        <v>120000</v>
      </c>
      <c r="K13" s="27" t="n"/>
      <c r="L13" s="23" t="inlineStr">
        <is>
          <t>Last two offices wait on courier delivery. Imani</t>
        </is>
      </c>
      <c r="M13" s="28">
        <f>IF($A13="","",IF($D13="","Not read",IF($Q13=0,"Not counted",IF(MAX($X13,$Y13)=3,"■ Red",IF(MAX($X13,$Y13)=2,"◧ Amber",IF(MAX($X13,$Y13)=1,"□ On track","Not read"))))))</f>
        <v/>
      </c>
      <c r="N13" s="28">
        <f>IF(OR($A13="",$B13&lt;&gt;"Program"),"","■ "&amp;COUNTIFS($C$6:$C$305,$A13,$M$6:$M$305,"■ Red")&amp;" Red, ◧ "&amp;COUNTIFS($C$6:$C$305,$A13,$M$6:$M$305,"◧ Amber")&amp;" Amber")</f>
        <v/>
      </c>
      <c r="O13" s="29">
        <f>IF(OR($A13="",$E13=""),"",COUNTIFS($E$6:$E$305,$E13,$D$6:$D$305,"Active")+COUNTIFS($E$6:$E$305,$E13,$D$6:$D$305,"Paused"))</f>
        <v/>
      </c>
      <c r="P13" s="28">
        <f>IF($A13="","",IF($AE13=0,"○ Clear",IF($AA13=1,"△ No owner",IF($AC13=1,"△ Check Sits under",IF($AC13=2,"△ Outside the portfolio",IF($AB13=1,"△ No sponsor",IF($AH13=1,"△ Name used twice",IF($AG13=1,"△ Budget only counts under Portfolio","△ No variance note"))))))&amp;IF($AE13&gt;1," (+"&amp;($AE13-1)&amp;" more)","")))</f>
        <v/>
      </c>
      <c r="Q13" s="28">
        <f>IF(AND($A13&lt;&gt;"",OR($D13="Active",$D13="Paused")),1,0)</f>
        <v/>
      </c>
      <c r="R13" s="28">
        <f>IFERROR(INDEX($A$6:$A$305,MATCH(6,$S$6:$S$305,0)),"")</f>
        <v/>
      </c>
      <c r="S13" s="28">
        <f>IF(AND($A13&lt;&gt;"",$B13="Program"),COUNTIFS($B$6:$B13,"Program",$A$6:$A13,"&lt;&gt;"),"")</f>
        <v/>
      </c>
      <c r="T13" s="30">
        <f>IF(AND($A13&lt;&gt;"",$B13="Program"),SUMPRODUCT(MAX(($C$6:$C$305=$A13)*($B$6:$B$305="Project")*($D$6:$D$305&lt;&gt;"Proposed")*$I$6:$I$305)),0)</f>
        <v/>
      </c>
      <c r="U13" s="30">
        <f>IF($I13&lt;&gt;"",$I13,IF($T13&gt;0,$T13,""))</f>
        <v/>
      </c>
      <c r="V13" s="28">
        <f>IF(AND($A13&lt;&gt;"",$B13="Program"),SUMIFS($J$6:$J$305,$C$6:$C$305,$A13,$B$6:$B$305,"Project",$D$6:$D$305,"&lt;&gt;Proposed"),0)</f>
        <v/>
      </c>
      <c r="W13" s="28">
        <f>IF(AND($A13&lt;&gt;"",$B13="Program"),COUNTIFS($C$6:$C$305,$A13,$B$6:$B$305,"Project",$D$6:$D$305,"&lt;&gt;Proposed")-COUNTIFS($C$6:$C$305,$A13,$B$6:$B$305,"Project",$D$6:$D$305,"&lt;&gt;Proposed",$J$6:$J$305,"&gt;=0"),0)</f>
        <v/>
      </c>
      <c r="X13" s="28">
        <f>IF(OR($Q13=0,$H13="",$AF13="Sprint"),0,IF(AND($B13="Project",$H13&lt;TODAY()),3,IF($U13="",0,IF($U13&lt;=$H13,1,IF(NETWORKDAYS($H13,$U13)-1&gt;IF($B13="Program",Checks!$B$7,Checks!$B$6),3,2)))))</f>
        <v/>
      </c>
      <c r="Y13" s="28">
        <f>IF(OR($Q13=0,$K13="",$K13=0,$AF13="Sprint"),0,IF(AND($B13="Project",$J13=""),0,IF(IF($B13="Program",$V13,$J13)&gt;$K13*(1+Checks!$B$8),3,IF(IF($B13="Program",$V13,$J13)&gt;$K13,2,IF(AND($B13="Program",OR($W13&gt;0,$V13=0)),0,1)))))</f>
        <v/>
      </c>
      <c r="Z13" s="28">
        <f>IF($A13="",0,IF($C13="Portfolio",1,IF(AND($B13="Project",$C13&lt;&gt;"",$C13&lt;&gt;"Outside the portfolio"),IFERROR(IF(AND(INDEX($B$6:$B$305,MATCH($C13,$A$6:$A$305,0))="Program",INDEX($C$6:$C$305,MATCH($C13,$A$6:$A$305,0))="Portfolio"),1,0),0),0)))</f>
        <v/>
      </c>
      <c r="AA13" s="28">
        <f>IF(AND($A13&lt;&gt;"",$E13="",OR($Q13=1,$D13="Proposed")),1,0)</f>
        <v/>
      </c>
      <c r="AB13" s="28">
        <f>IF(AND($A13&lt;&gt;"",$B13="Program",$F13="",$Q13=1),1,0)</f>
        <v/>
      </c>
      <c r="AC13" s="28">
        <f>IF(OR($A13="",$D13="Completed",$D13="Terminated"),0,IF($C13="",1,IF($C13="Portfolio",0,IF($C13="Outside the portfolio",IF($Q13=1,2,0),IF($B13="Project",IF(IFERROR(INDEX($B$6:$B$305,MATCH($C13,$A$6:$A$305,0)),"")="Program",0,1),1)))))</f>
        <v/>
      </c>
      <c r="AD13" s="28">
        <f>IF(AND($A13&lt;&gt;"",OR($M13="■ Red",$M13="◧ Amber"),$L13=""),1,0)</f>
        <v/>
      </c>
      <c r="AE13" s="28">
        <f>$AA13+$AB13+IF($AC13&gt;0,1,0)+$AD13+$AG13+$AH13</f>
        <v/>
      </c>
      <c r="AF13" s="25" t="inlineStr">
        <is>
          <t>Waterfall</t>
        </is>
      </c>
      <c r="AG13" s="28">
        <f>IF(AND($A13&lt;&gt;"",$K13&lt;&gt;"",$C13&lt;&gt;"Portfolio",$D13&lt;&gt;"Completed",$D13&lt;&gt;"Terminated"),1,0)</f>
        <v/>
      </c>
      <c r="AH13" s="28">
        <f>IF(AND($A13&lt;&gt;"",COUNTIF($A$6:$A$305,$A13)&gt;1),1,0)</f>
        <v/>
      </c>
      <c r="AI13" s="28">
        <f>IF(AND($A13&lt;&gt;"",$C13="Portfolio"),COUNTIFS($C$6:$C13,"Portfolio",$A$6:$A13,"&lt;&gt;"),"")</f>
        <v/>
      </c>
    </row>
    <row r="14">
      <c r="A14" s="25" t="inlineStr">
        <is>
          <t>Partner Portal Launch</t>
        </is>
      </c>
      <c r="B14" s="25" t="inlineStr">
        <is>
          <t>Project</t>
        </is>
      </c>
      <c r="C14" s="25" t="inlineStr">
        <is>
          <t>Portfolio</t>
        </is>
      </c>
      <c r="D14" s="25" t="inlineStr">
        <is>
          <t>Active</t>
        </is>
      </c>
      <c r="E14" s="25" t="inlineStr">
        <is>
          <t>Mei (Product Manager)</t>
        </is>
      </c>
      <c r="F14" s="25" t="n"/>
      <c r="G14" s="25" t="n"/>
      <c r="H14" s="26" t="n">
        <v>46507</v>
      </c>
      <c r="I14" s="26" t="n">
        <v>46507</v>
      </c>
      <c r="J14" s="27" t="n">
        <v>85000</v>
      </c>
      <c r="K14" s="27" t="n">
        <v>80000</v>
      </c>
      <c r="L14" s="23" t="inlineStr">
        <is>
          <t>Contract testers cost more than planned; still within 10 percent. Mei</t>
        </is>
      </c>
      <c r="M14" s="28">
        <f>IF($A14="","",IF($D14="","Not read",IF($Q14=0,"Not counted",IF(MAX($X14,$Y14)=3,"■ Red",IF(MAX($X14,$Y14)=2,"◧ Amber",IF(MAX($X14,$Y14)=1,"□ On track","Not read"))))))</f>
        <v/>
      </c>
      <c r="N14" s="28">
        <f>IF(OR($A14="",$B14&lt;&gt;"Program"),"","■ "&amp;COUNTIFS($C$6:$C$305,$A14,$M$6:$M$305,"■ Red")&amp;" Red, ◧ "&amp;COUNTIFS($C$6:$C$305,$A14,$M$6:$M$305,"◧ Amber")&amp;" Amber")</f>
        <v/>
      </c>
      <c r="O14" s="29">
        <f>IF(OR($A14="",$E14=""),"",COUNTIFS($E$6:$E$305,$E14,$D$6:$D$305,"Active")+COUNTIFS($E$6:$E$305,$E14,$D$6:$D$305,"Paused"))</f>
        <v/>
      </c>
      <c r="P14" s="28">
        <f>IF($A14="","",IF($AE14=0,"○ Clear",IF($AA14=1,"△ No owner",IF($AC14=1,"△ Check Sits under",IF($AC14=2,"△ Outside the portfolio",IF($AB14=1,"△ No sponsor",IF($AH14=1,"△ Name used twice",IF($AG14=1,"△ Budget only counts under Portfolio","△ No variance note"))))))&amp;IF($AE14&gt;1," (+"&amp;($AE14-1)&amp;" more)","")))</f>
        <v/>
      </c>
      <c r="Q14" s="28">
        <f>IF(AND($A14&lt;&gt;"",OR($D14="Active",$D14="Paused")),1,0)</f>
        <v/>
      </c>
      <c r="R14" s="28">
        <f>IFERROR(INDEX($A$6:$A$305,MATCH(7,$S$6:$S$305,0)),"")</f>
        <v/>
      </c>
      <c r="S14" s="28">
        <f>IF(AND($A14&lt;&gt;"",$B14="Program"),COUNTIFS($B$6:$B14,"Program",$A$6:$A14,"&lt;&gt;"),"")</f>
        <v/>
      </c>
      <c r="T14" s="30">
        <f>IF(AND($A14&lt;&gt;"",$B14="Program"),SUMPRODUCT(MAX(($C$6:$C$305=$A14)*($B$6:$B$305="Project")*($D$6:$D$305&lt;&gt;"Proposed")*$I$6:$I$305)),0)</f>
        <v/>
      </c>
      <c r="U14" s="30">
        <f>IF($I14&lt;&gt;"",$I14,IF($T14&gt;0,$T14,""))</f>
        <v/>
      </c>
      <c r="V14" s="28">
        <f>IF(AND($A14&lt;&gt;"",$B14="Program"),SUMIFS($J$6:$J$305,$C$6:$C$305,$A14,$B$6:$B$305,"Project",$D$6:$D$305,"&lt;&gt;Proposed"),0)</f>
        <v/>
      </c>
      <c r="W14" s="28">
        <f>IF(AND($A14&lt;&gt;"",$B14="Program"),COUNTIFS($C$6:$C$305,$A14,$B$6:$B$305,"Project",$D$6:$D$305,"&lt;&gt;Proposed")-COUNTIFS($C$6:$C$305,$A14,$B$6:$B$305,"Project",$D$6:$D$305,"&lt;&gt;Proposed",$J$6:$J$305,"&gt;=0"),0)</f>
        <v/>
      </c>
      <c r="X14" s="28">
        <f>IF(OR($Q14=0,$H14="",$AF14="Sprint"),0,IF(AND($B14="Project",$H14&lt;TODAY()),3,IF($U14="",0,IF($U14&lt;=$H14,1,IF(NETWORKDAYS($H14,$U14)-1&gt;IF($B14="Program",Checks!$B$7,Checks!$B$6),3,2)))))</f>
        <v/>
      </c>
      <c r="Y14" s="28">
        <f>IF(OR($Q14=0,$K14="",$K14=0,$AF14="Sprint"),0,IF(AND($B14="Project",$J14=""),0,IF(IF($B14="Program",$V14,$J14)&gt;$K14*(1+Checks!$B$8),3,IF(IF($B14="Program",$V14,$J14)&gt;$K14,2,IF(AND($B14="Program",OR($W14&gt;0,$V14=0)),0,1)))))</f>
        <v/>
      </c>
      <c r="Z14" s="28">
        <f>IF($A14="",0,IF($C14="Portfolio",1,IF(AND($B14="Project",$C14&lt;&gt;"",$C14&lt;&gt;"Outside the portfolio"),IFERROR(IF(AND(INDEX($B$6:$B$305,MATCH($C14,$A$6:$A$305,0))="Program",INDEX($C$6:$C$305,MATCH($C14,$A$6:$A$305,0))="Portfolio"),1,0),0),0)))</f>
        <v/>
      </c>
      <c r="AA14" s="28">
        <f>IF(AND($A14&lt;&gt;"",$E14="",OR($Q14=1,$D14="Proposed")),1,0)</f>
        <v/>
      </c>
      <c r="AB14" s="28">
        <f>IF(AND($A14&lt;&gt;"",$B14="Program",$F14="",$Q14=1),1,0)</f>
        <v/>
      </c>
      <c r="AC14" s="28">
        <f>IF(OR($A14="",$D14="Completed",$D14="Terminated"),0,IF($C14="",1,IF($C14="Portfolio",0,IF($C14="Outside the portfolio",IF($Q14=1,2,0),IF($B14="Project",IF(IFERROR(INDEX($B$6:$B$305,MATCH($C14,$A$6:$A$305,0)),"")="Program",0,1),1)))))</f>
        <v/>
      </c>
      <c r="AD14" s="28">
        <f>IF(AND($A14&lt;&gt;"",OR($M14="■ Red",$M14="◧ Amber"),$L14=""),1,0)</f>
        <v/>
      </c>
      <c r="AE14" s="28">
        <f>$AA14+$AB14+IF($AC14&gt;0,1,0)+$AD14+$AG14+$AH14</f>
        <v/>
      </c>
      <c r="AF14" s="25" t="inlineStr">
        <is>
          <t>Waterfall</t>
        </is>
      </c>
      <c r="AG14" s="28">
        <f>IF(AND($A14&lt;&gt;"",$K14&lt;&gt;"",$C14&lt;&gt;"Portfolio",$D14&lt;&gt;"Completed",$D14&lt;&gt;"Terminated"),1,0)</f>
        <v/>
      </c>
      <c r="AH14" s="28">
        <f>IF(AND($A14&lt;&gt;"",COUNTIF($A$6:$A$305,$A14)&gt;1),1,0)</f>
        <v/>
      </c>
      <c r="AI14" s="28">
        <f>IF(AND($A14&lt;&gt;"",$C14="Portfolio"),COUNTIFS($C$6:$C14,"Portfolio",$A$6:$A14,"&lt;&gt;"),"")</f>
        <v/>
      </c>
    </row>
    <row r="15">
      <c r="A15" s="25" t="inlineStr">
        <is>
          <t>Support Tooling Replacement</t>
        </is>
      </c>
      <c r="B15" s="25" t="inlineStr">
        <is>
          <t>Project</t>
        </is>
      </c>
      <c r="C15" s="25" t="inlineStr">
        <is>
          <t>Support Ops Program</t>
        </is>
      </c>
      <c r="D15" s="25" t="inlineStr">
        <is>
          <t>Active</t>
        </is>
      </c>
      <c r="E15" s="25" t="inlineStr">
        <is>
          <t>Noor (Support Lead)</t>
        </is>
      </c>
      <c r="F15" s="25" t="n"/>
      <c r="G15" s="25" t="n"/>
      <c r="H15" s="26" t="n">
        <v>46430</v>
      </c>
      <c r="I15" s="26" t="n">
        <v>46430</v>
      </c>
      <c r="J15" s="27" t="n">
        <v>70000</v>
      </c>
      <c r="K15" s="27" t="n"/>
      <c r="L15" s="23" t="n"/>
      <c r="M15" s="28">
        <f>IF($A15="","",IF($D15="","Not read",IF($Q15=0,"Not counted",IF(MAX($X15,$Y15)=3,"■ Red",IF(MAX($X15,$Y15)=2,"◧ Amber",IF(MAX($X15,$Y15)=1,"□ On track","Not read"))))))</f>
        <v/>
      </c>
      <c r="N15" s="28">
        <f>IF(OR($A15="",$B15&lt;&gt;"Program"),"","■ "&amp;COUNTIFS($C$6:$C$305,$A15,$M$6:$M$305,"■ Red")&amp;" Red, ◧ "&amp;COUNTIFS($C$6:$C$305,$A15,$M$6:$M$305,"◧ Amber")&amp;" Amber")</f>
        <v/>
      </c>
      <c r="O15" s="29">
        <f>IF(OR($A15="",$E15=""),"",COUNTIFS($E$6:$E$305,$E15,$D$6:$D$305,"Active")+COUNTIFS($E$6:$E$305,$E15,$D$6:$D$305,"Paused"))</f>
        <v/>
      </c>
      <c r="P15" s="28">
        <f>IF($A15="","",IF($AE15=0,"○ Clear",IF($AA15=1,"△ No owner",IF($AC15=1,"△ Check Sits under",IF($AC15=2,"△ Outside the portfolio",IF($AB15=1,"△ No sponsor",IF($AH15=1,"△ Name used twice",IF($AG15=1,"△ Budget only counts under Portfolio","△ No variance note"))))))&amp;IF($AE15&gt;1," (+"&amp;($AE15-1)&amp;" more)","")))</f>
        <v/>
      </c>
      <c r="Q15" s="28">
        <f>IF(AND($A15&lt;&gt;"",OR($D15="Active",$D15="Paused")),1,0)</f>
        <v/>
      </c>
      <c r="R15" s="28">
        <f>IFERROR(INDEX($A$6:$A$305,MATCH(8,$S$6:$S$305,0)),"")</f>
        <v/>
      </c>
      <c r="S15" s="28">
        <f>IF(AND($A15&lt;&gt;"",$B15="Program"),COUNTIFS($B$6:$B15,"Program",$A$6:$A15,"&lt;&gt;"),"")</f>
        <v/>
      </c>
      <c r="T15" s="30">
        <f>IF(AND($A15&lt;&gt;"",$B15="Program"),SUMPRODUCT(MAX(($C$6:$C$305=$A15)*($B$6:$B$305="Project")*($D$6:$D$305&lt;&gt;"Proposed")*$I$6:$I$305)),0)</f>
        <v/>
      </c>
      <c r="U15" s="30">
        <f>IF($I15&lt;&gt;"",$I15,IF($T15&gt;0,$T15,""))</f>
        <v/>
      </c>
      <c r="V15" s="28">
        <f>IF(AND($A15&lt;&gt;"",$B15="Program"),SUMIFS($J$6:$J$305,$C$6:$C$305,$A15,$B$6:$B$305,"Project",$D$6:$D$305,"&lt;&gt;Proposed"),0)</f>
        <v/>
      </c>
      <c r="W15" s="28">
        <f>IF(AND($A15&lt;&gt;"",$B15="Program"),COUNTIFS($C$6:$C$305,$A15,$B$6:$B$305,"Project",$D$6:$D$305,"&lt;&gt;Proposed")-COUNTIFS($C$6:$C$305,$A15,$B$6:$B$305,"Project",$D$6:$D$305,"&lt;&gt;Proposed",$J$6:$J$305,"&gt;=0"),0)</f>
        <v/>
      </c>
      <c r="X15" s="28">
        <f>IF(OR($Q15=0,$H15="",$AF15="Sprint"),0,IF(AND($B15="Project",$H15&lt;TODAY()),3,IF($U15="",0,IF($U15&lt;=$H15,1,IF(NETWORKDAYS($H15,$U15)-1&gt;IF($B15="Program",Checks!$B$7,Checks!$B$6),3,2)))))</f>
        <v/>
      </c>
      <c r="Y15" s="28">
        <f>IF(OR($Q15=0,$K15="",$K15=0,$AF15="Sprint"),0,IF(AND($B15="Project",$J15=""),0,IF(IF($B15="Program",$V15,$J15)&gt;$K15*(1+Checks!$B$8),3,IF(IF($B15="Program",$V15,$J15)&gt;$K15,2,IF(AND($B15="Program",OR($W15&gt;0,$V15=0)),0,1)))))</f>
        <v/>
      </c>
      <c r="Z15" s="28">
        <f>IF($A15="",0,IF($C15="Portfolio",1,IF(AND($B15="Project",$C15&lt;&gt;"",$C15&lt;&gt;"Outside the portfolio"),IFERROR(IF(AND(INDEX($B$6:$B$305,MATCH($C15,$A$6:$A$305,0))="Program",INDEX($C$6:$C$305,MATCH($C15,$A$6:$A$305,0))="Portfolio"),1,0),0),0)))</f>
        <v/>
      </c>
      <c r="AA15" s="28">
        <f>IF(AND($A15&lt;&gt;"",$E15="",OR($Q15=1,$D15="Proposed")),1,0)</f>
        <v/>
      </c>
      <c r="AB15" s="28">
        <f>IF(AND($A15&lt;&gt;"",$B15="Program",$F15="",$Q15=1),1,0)</f>
        <v/>
      </c>
      <c r="AC15" s="28">
        <f>IF(OR($A15="",$D15="Completed",$D15="Terminated"),0,IF($C15="",1,IF($C15="Portfolio",0,IF($C15="Outside the portfolio",IF($Q15=1,2,0),IF($B15="Project",IF(IFERROR(INDEX($B$6:$B$305,MATCH($C15,$A$6:$A$305,0)),"")="Program",0,1),1)))))</f>
        <v/>
      </c>
      <c r="AD15" s="28">
        <f>IF(AND($A15&lt;&gt;"",OR($M15="■ Red",$M15="◧ Amber"),$L15=""),1,0)</f>
        <v/>
      </c>
      <c r="AE15" s="28">
        <f>$AA15+$AB15+IF($AC15&gt;0,1,0)+$AD15+$AG15+$AH15</f>
        <v/>
      </c>
      <c r="AF15" s="25" t="inlineStr">
        <is>
          <t>Sprint</t>
        </is>
      </c>
      <c r="AG15" s="28">
        <f>IF(AND($A15&lt;&gt;"",$K15&lt;&gt;"",$C15&lt;&gt;"Portfolio",$D15&lt;&gt;"Completed",$D15&lt;&gt;"Terminated"),1,0)</f>
        <v/>
      </c>
      <c r="AH15" s="28">
        <f>IF(AND($A15&lt;&gt;"",COUNTIF($A$6:$A$305,$A15)&gt;1),1,0)</f>
        <v/>
      </c>
      <c r="AI15" s="28">
        <f>IF(AND($A15&lt;&gt;"",$C15="Portfolio"),COUNTIFS($C$6:$C15,"Portfolio",$A$6:$A15,"&lt;&gt;"),"")</f>
        <v/>
      </c>
    </row>
    <row r="16">
      <c r="A16" s="25" t="inlineStr">
        <is>
          <t>Internal Wiki Cleanup</t>
        </is>
      </c>
      <c r="B16" s="25" t="inlineStr">
        <is>
          <t>Project</t>
        </is>
      </c>
      <c r="C16" s="25" t="inlineStr">
        <is>
          <t>Outside the portfolio</t>
        </is>
      </c>
      <c r="D16" s="25" t="inlineStr">
        <is>
          <t>Paused</t>
        </is>
      </c>
      <c r="E16" s="25" t="inlineStr">
        <is>
          <t>Noor (Support Lead)</t>
        </is>
      </c>
      <c r="F16" s="25" t="n"/>
      <c r="G16" s="25" t="n"/>
      <c r="H16" s="26" t="n"/>
      <c r="I16" s="26" t="n"/>
      <c r="J16" s="27" t="n"/>
      <c r="K16" s="27" t="n"/>
      <c r="L16" s="23" t="n"/>
      <c r="M16" s="28">
        <f>IF($A16="","",IF($D16="","Not read",IF($Q16=0,"Not counted",IF(MAX($X16,$Y16)=3,"■ Red",IF(MAX($X16,$Y16)=2,"◧ Amber",IF(MAX($X16,$Y16)=1,"□ On track","Not read"))))))</f>
        <v/>
      </c>
      <c r="N16" s="28">
        <f>IF(OR($A16="",$B16&lt;&gt;"Program"),"","■ "&amp;COUNTIFS($C$6:$C$305,$A16,$M$6:$M$305,"■ Red")&amp;" Red, ◧ "&amp;COUNTIFS($C$6:$C$305,$A16,$M$6:$M$305,"◧ Amber")&amp;" Amber")</f>
        <v/>
      </c>
      <c r="O16" s="29">
        <f>IF(OR($A16="",$E16=""),"",COUNTIFS($E$6:$E$305,$E16,$D$6:$D$305,"Active")+COUNTIFS($E$6:$E$305,$E16,$D$6:$D$305,"Paused"))</f>
        <v/>
      </c>
      <c r="P16" s="28">
        <f>IF($A16="","",IF($AE16=0,"○ Clear",IF($AA16=1,"△ No owner",IF($AC16=1,"△ Check Sits under",IF($AC16=2,"△ Outside the portfolio",IF($AB16=1,"△ No sponsor",IF($AH16=1,"△ Name used twice",IF($AG16=1,"△ Budget only counts under Portfolio","△ No variance note"))))))&amp;IF($AE16&gt;1," (+"&amp;($AE16-1)&amp;" more)","")))</f>
        <v/>
      </c>
      <c r="Q16" s="28">
        <f>IF(AND($A16&lt;&gt;"",OR($D16="Active",$D16="Paused")),1,0)</f>
        <v/>
      </c>
      <c r="R16" s="28">
        <f>IFERROR(INDEX($A$6:$A$305,MATCH(9,$S$6:$S$305,0)),"")</f>
        <v/>
      </c>
      <c r="S16" s="28">
        <f>IF(AND($A16&lt;&gt;"",$B16="Program"),COUNTIFS($B$6:$B16,"Program",$A$6:$A16,"&lt;&gt;"),"")</f>
        <v/>
      </c>
      <c r="T16" s="30">
        <f>IF(AND($A16&lt;&gt;"",$B16="Program"),SUMPRODUCT(MAX(($C$6:$C$305=$A16)*($B$6:$B$305="Project")*($D$6:$D$305&lt;&gt;"Proposed")*$I$6:$I$305)),0)</f>
        <v/>
      </c>
      <c r="U16" s="30">
        <f>IF($I16&lt;&gt;"",$I16,IF($T16&gt;0,$T16,""))</f>
        <v/>
      </c>
      <c r="V16" s="28">
        <f>IF(AND($A16&lt;&gt;"",$B16="Program"),SUMIFS($J$6:$J$305,$C$6:$C$305,$A16,$B$6:$B$305,"Project",$D$6:$D$305,"&lt;&gt;Proposed"),0)</f>
        <v/>
      </c>
      <c r="W16" s="28">
        <f>IF(AND($A16&lt;&gt;"",$B16="Program"),COUNTIFS($C$6:$C$305,$A16,$B$6:$B$305,"Project",$D$6:$D$305,"&lt;&gt;Proposed")-COUNTIFS($C$6:$C$305,$A16,$B$6:$B$305,"Project",$D$6:$D$305,"&lt;&gt;Proposed",$J$6:$J$305,"&gt;=0"),0)</f>
        <v/>
      </c>
      <c r="X16" s="28">
        <f>IF(OR($Q16=0,$H16="",$AF16="Sprint"),0,IF(AND($B16="Project",$H16&lt;TODAY()),3,IF($U16="",0,IF($U16&lt;=$H16,1,IF(NETWORKDAYS($H16,$U16)-1&gt;IF($B16="Program",Checks!$B$7,Checks!$B$6),3,2)))))</f>
        <v/>
      </c>
      <c r="Y16" s="28">
        <f>IF(OR($Q16=0,$K16="",$K16=0,$AF16="Sprint"),0,IF(AND($B16="Project",$J16=""),0,IF(IF($B16="Program",$V16,$J16)&gt;$K16*(1+Checks!$B$8),3,IF(IF($B16="Program",$V16,$J16)&gt;$K16,2,IF(AND($B16="Program",OR($W16&gt;0,$V16=0)),0,1)))))</f>
        <v/>
      </c>
      <c r="Z16" s="28">
        <f>IF($A16="",0,IF($C16="Portfolio",1,IF(AND($B16="Project",$C16&lt;&gt;"",$C16&lt;&gt;"Outside the portfolio"),IFERROR(IF(AND(INDEX($B$6:$B$305,MATCH($C16,$A$6:$A$305,0))="Program",INDEX($C$6:$C$305,MATCH($C16,$A$6:$A$305,0))="Portfolio"),1,0),0),0)))</f>
        <v/>
      </c>
      <c r="AA16" s="28">
        <f>IF(AND($A16&lt;&gt;"",$E16="",OR($Q16=1,$D16="Proposed")),1,0)</f>
        <v/>
      </c>
      <c r="AB16" s="28">
        <f>IF(AND($A16&lt;&gt;"",$B16="Program",$F16="",$Q16=1),1,0)</f>
        <v/>
      </c>
      <c r="AC16" s="28">
        <f>IF(OR($A16="",$D16="Completed",$D16="Terminated"),0,IF($C16="",1,IF($C16="Portfolio",0,IF($C16="Outside the portfolio",IF($Q16=1,2,0),IF($B16="Project",IF(IFERROR(INDEX($B$6:$B$305,MATCH($C16,$A$6:$A$305,0)),"")="Program",0,1),1)))))</f>
        <v/>
      </c>
      <c r="AD16" s="28">
        <f>IF(AND($A16&lt;&gt;"",OR($M16="■ Red",$M16="◧ Amber"),$L16=""),1,0)</f>
        <v/>
      </c>
      <c r="AE16" s="28">
        <f>$AA16+$AB16+IF($AC16&gt;0,1,0)+$AD16+$AG16+$AH16</f>
        <v/>
      </c>
      <c r="AF16" s="25" t="inlineStr">
        <is>
          <t>Waterfall</t>
        </is>
      </c>
      <c r="AG16" s="28">
        <f>IF(AND($A16&lt;&gt;"",$K16&lt;&gt;"",$C16&lt;&gt;"Portfolio",$D16&lt;&gt;"Completed",$D16&lt;&gt;"Terminated"),1,0)</f>
        <v/>
      </c>
      <c r="AH16" s="28">
        <f>IF(AND($A16&lt;&gt;"",COUNTIF($A$6:$A$305,$A16)&gt;1),1,0)</f>
        <v/>
      </c>
      <c r="AI16" s="28">
        <f>IF(AND($A16&lt;&gt;"",$C16="Portfolio"),COUNTIFS($C$6:$C16,"Portfolio",$A$6:$A16,"&lt;&gt;"),"")</f>
        <v/>
      </c>
    </row>
    <row r="17">
      <c r="A17" s="25" t="n"/>
      <c r="B17" s="25" t="n"/>
      <c r="C17" s="25" t="n"/>
      <c r="D17" s="25" t="n"/>
      <c r="E17" s="25" t="n"/>
      <c r="F17" s="25" t="n"/>
      <c r="G17" s="25" t="n"/>
      <c r="H17" s="26" t="n"/>
      <c r="I17" s="26" t="n"/>
      <c r="J17" s="27" t="n"/>
      <c r="K17" s="27" t="n"/>
      <c r="L17" s="23" t="n"/>
      <c r="M17" s="28">
        <f>IF($A17="","",IF($D17="","Not read",IF($Q17=0,"Not counted",IF(MAX($X17,$Y17)=3,"■ Red",IF(MAX($X17,$Y17)=2,"◧ Amber",IF(MAX($X17,$Y17)=1,"□ On track","Not read"))))))</f>
        <v/>
      </c>
      <c r="N17" s="28">
        <f>IF(OR($A17="",$B17&lt;&gt;"Program"),"","■ "&amp;COUNTIFS($C$6:$C$305,$A17,$M$6:$M$305,"■ Red")&amp;" Red, ◧ "&amp;COUNTIFS($C$6:$C$305,$A17,$M$6:$M$305,"◧ Amber")&amp;" Amber")</f>
        <v/>
      </c>
      <c r="O17" s="29">
        <f>IF(OR($A17="",$E17=""),"",COUNTIFS($E$6:$E$305,$E17,$D$6:$D$305,"Active")+COUNTIFS($E$6:$E$305,$E17,$D$6:$D$305,"Paused"))</f>
        <v/>
      </c>
      <c r="P17" s="28">
        <f>IF($A17="","",IF($AE17=0,"○ Clear",IF($AA17=1,"△ No owner",IF($AC17=1,"△ Check Sits under",IF($AC17=2,"△ Outside the portfolio",IF($AB17=1,"△ No sponsor",IF($AH17=1,"△ Name used twice",IF($AG17=1,"△ Budget only counts under Portfolio","△ No variance note"))))))&amp;IF($AE17&gt;1," (+"&amp;($AE17-1)&amp;" more)","")))</f>
        <v/>
      </c>
      <c r="Q17" s="28">
        <f>IF(AND($A17&lt;&gt;"",OR($D17="Active",$D17="Paused")),1,0)</f>
        <v/>
      </c>
      <c r="R17" s="28">
        <f>IFERROR(INDEX($A$6:$A$305,MATCH(10,$S$6:$S$305,0)),"")</f>
        <v/>
      </c>
      <c r="S17" s="28">
        <f>IF(AND($A17&lt;&gt;"",$B17="Program"),COUNTIFS($B$6:$B17,"Program",$A$6:$A17,"&lt;&gt;"),"")</f>
        <v/>
      </c>
      <c r="T17" s="30">
        <f>IF(AND($A17&lt;&gt;"",$B17="Program"),SUMPRODUCT(MAX(($C$6:$C$305=$A17)*($B$6:$B$305="Project")*($D$6:$D$305&lt;&gt;"Proposed")*$I$6:$I$305)),0)</f>
        <v/>
      </c>
      <c r="U17" s="30">
        <f>IF($I17&lt;&gt;"",$I17,IF($T17&gt;0,$T17,""))</f>
        <v/>
      </c>
      <c r="V17" s="28">
        <f>IF(AND($A17&lt;&gt;"",$B17="Program"),SUMIFS($J$6:$J$305,$C$6:$C$305,$A17,$B$6:$B$305,"Project",$D$6:$D$305,"&lt;&gt;Proposed"),0)</f>
        <v/>
      </c>
      <c r="W17" s="28">
        <f>IF(AND($A17&lt;&gt;"",$B17="Program"),COUNTIFS($C$6:$C$305,$A17,$B$6:$B$305,"Project",$D$6:$D$305,"&lt;&gt;Proposed")-COUNTIFS($C$6:$C$305,$A17,$B$6:$B$305,"Project",$D$6:$D$305,"&lt;&gt;Proposed",$J$6:$J$305,"&gt;=0"),0)</f>
        <v/>
      </c>
      <c r="X17" s="28">
        <f>IF(OR($Q17=0,$H17="",$AF17="Sprint"),0,IF(AND($B17="Project",$H17&lt;TODAY()),3,IF($U17="",0,IF($U17&lt;=$H17,1,IF(NETWORKDAYS($H17,$U17)-1&gt;IF($B17="Program",Checks!$B$7,Checks!$B$6),3,2)))))</f>
        <v/>
      </c>
      <c r="Y17" s="28">
        <f>IF(OR($Q17=0,$K17="",$K17=0,$AF17="Sprint"),0,IF(AND($B17="Project",$J17=""),0,IF(IF($B17="Program",$V17,$J17)&gt;$K17*(1+Checks!$B$8),3,IF(IF($B17="Program",$V17,$J17)&gt;$K17,2,IF(AND($B17="Program",OR($W17&gt;0,$V17=0)),0,1)))))</f>
        <v/>
      </c>
      <c r="Z17" s="28">
        <f>IF($A17="",0,IF($C17="Portfolio",1,IF(AND($B17="Project",$C17&lt;&gt;"",$C17&lt;&gt;"Outside the portfolio"),IFERROR(IF(AND(INDEX($B$6:$B$305,MATCH($C17,$A$6:$A$305,0))="Program",INDEX($C$6:$C$305,MATCH($C17,$A$6:$A$305,0))="Portfolio"),1,0),0),0)))</f>
        <v/>
      </c>
      <c r="AA17" s="28">
        <f>IF(AND($A17&lt;&gt;"",$E17="",OR($Q17=1,$D17="Proposed")),1,0)</f>
        <v/>
      </c>
      <c r="AB17" s="28">
        <f>IF(AND($A17&lt;&gt;"",$B17="Program",$F17="",$Q17=1),1,0)</f>
        <v/>
      </c>
      <c r="AC17" s="28">
        <f>IF(OR($A17="",$D17="Completed",$D17="Terminated"),0,IF($C17="",1,IF($C17="Portfolio",0,IF($C17="Outside the portfolio",IF($Q17=1,2,0),IF($B17="Project",IF(IFERROR(INDEX($B$6:$B$305,MATCH($C17,$A$6:$A$305,0)),"")="Program",0,1),1)))))</f>
        <v/>
      </c>
      <c r="AD17" s="28">
        <f>IF(AND($A17&lt;&gt;"",OR($M17="■ Red",$M17="◧ Amber"),$L17=""),1,0)</f>
        <v/>
      </c>
      <c r="AE17" s="28">
        <f>$AA17+$AB17+IF($AC17&gt;0,1,0)+$AD17+$AG17+$AH17</f>
        <v/>
      </c>
      <c r="AF17" s="25" t="n"/>
      <c r="AG17" s="28">
        <f>IF(AND($A17&lt;&gt;"",$K17&lt;&gt;"",$C17&lt;&gt;"Portfolio",$D17&lt;&gt;"Completed",$D17&lt;&gt;"Terminated"),1,0)</f>
        <v/>
      </c>
      <c r="AH17" s="28">
        <f>IF(AND($A17&lt;&gt;"",COUNTIF($A$6:$A$305,$A17)&gt;1),1,0)</f>
        <v/>
      </c>
      <c r="AI17" s="28">
        <f>IF(AND($A17&lt;&gt;"",$C17="Portfolio"),COUNTIFS($C$6:$C17,"Portfolio",$A$6:$A17,"&lt;&gt;"),"")</f>
        <v/>
      </c>
    </row>
    <row r="18">
      <c r="A18" s="25" t="n"/>
      <c r="B18" s="25" t="n"/>
      <c r="C18" s="25" t="n"/>
      <c r="D18" s="25" t="n"/>
      <c r="E18" s="25" t="n"/>
      <c r="F18" s="25" t="n"/>
      <c r="G18" s="25" t="n"/>
      <c r="H18" s="26" t="n"/>
      <c r="I18" s="26" t="n"/>
      <c r="J18" s="27" t="n"/>
      <c r="K18" s="27" t="n"/>
      <c r="L18" s="23" t="n"/>
      <c r="M18" s="28">
        <f>IF($A18="","",IF($D18="","Not read",IF($Q18=0,"Not counted",IF(MAX($X18,$Y18)=3,"■ Red",IF(MAX($X18,$Y18)=2,"◧ Amber",IF(MAX($X18,$Y18)=1,"□ On track","Not read"))))))</f>
        <v/>
      </c>
      <c r="N18" s="28">
        <f>IF(OR($A18="",$B18&lt;&gt;"Program"),"","■ "&amp;COUNTIFS($C$6:$C$305,$A18,$M$6:$M$305,"■ Red")&amp;" Red, ◧ "&amp;COUNTIFS($C$6:$C$305,$A18,$M$6:$M$305,"◧ Amber")&amp;" Amber")</f>
        <v/>
      </c>
      <c r="O18" s="29">
        <f>IF(OR($A18="",$E18=""),"",COUNTIFS($E$6:$E$305,$E18,$D$6:$D$305,"Active")+COUNTIFS($E$6:$E$305,$E18,$D$6:$D$305,"Paused"))</f>
        <v/>
      </c>
      <c r="P18" s="28">
        <f>IF($A18="","",IF($AE18=0,"○ Clear",IF($AA18=1,"△ No owner",IF($AC18=1,"△ Check Sits under",IF($AC18=2,"△ Outside the portfolio",IF($AB18=1,"△ No sponsor",IF($AH18=1,"△ Name used twice",IF($AG18=1,"△ Budget only counts under Portfolio","△ No variance note"))))))&amp;IF($AE18&gt;1," (+"&amp;($AE18-1)&amp;" more)","")))</f>
        <v/>
      </c>
      <c r="Q18" s="28">
        <f>IF(AND($A18&lt;&gt;"",OR($D18="Active",$D18="Paused")),1,0)</f>
        <v/>
      </c>
      <c r="R18" s="28">
        <f>IFERROR(INDEX($A$6:$A$305,MATCH(11,$S$6:$S$305,0)),"")</f>
        <v/>
      </c>
      <c r="S18" s="28">
        <f>IF(AND($A18&lt;&gt;"",$B18="Program"),COUNTIFS($B$6:$B18,"Program",$A$6:$A18,"&lt;&gt;"),"")</f>
        <v/>
      </c>
      <c r="T18" s="30">
        <f>IF(AND($A18&lt;&gt;"",$B18="Program"),SUMPRODUCT(MAX(($C$6:$C$305=$A18)*($B$6:$B$305="Project")*($D$6:$D$305&lt;&gt;"Proposed")*$I$6:$I$305)),0)</f>
        <v/>
      </c>
      <c r="U18" s="30">
        <f>IF($I18&lt;&gt;"",$I18,IF($T18&gt;0,$T18,""))</f>
        <v/>
      </c>
      <c r="V18" s="28">
        <f>IF(AND($A18&lt;&gt;"",$B18="Program"),SUMIFS($J$6:$J$305,$C$6:$C$305,$A18,$B$6:$B$305,"Project",$D$6:$D$305,"&lt;&gt;Proposed"),0)</f>
        <v/>
      </c>
      <c r="W18" s="28">
        <f>IF(AND($A18&lt;&gt;"",$B18="Program"),COUNTIFS($C$6:$C$305,$A18,$B$6:$B$305,"Project",$D$6:$D$305,"&lt;&gt;Proposed")-COUNTIFS($C$6:$C$305,$A18,$B$6:$B$305,"Project",$D$6:$D$305,"&lt;&gt;Proposed",$J$6:$J$305,"&gt;=0"),0)</f>
        <v/>
      </c>
      <c r="X18" s="28">
        <f>IF(OR($Q18=0,$H18="",$AF18="Sprint"),0,IF(AND($B18="Project",$H18&lt;TODAY()),3,IF($U18="",0,IF($U18&lt;=$H18,1,IF(NETWORKDAYS($H18,$U18)-1&gt;IF($B18="Program",Checks!$B$7,Checks!$B$6),3,2)))))</f>
        <v/>
      </c>
      <c r="Y18" s="28">
        <f>IF(OR($Q18=0,$K18="",$K18=0,$AF18="Sprint"),0,IF(AND($B18="Project",$J18=""),0,IF(IF($B18="Program",$V18,$J18)&gt;$K18*(1+Checks!$B$8),3,IF(IF($B18="Program",$V18,$J18)&gt;$K18,2,IF(AND($B18="Program",OR($W18&gt;0,$V18=0)),0,1)))))</f>
        <v/>
      </c>
      <c r="Z18" s="28">
        <f>IF($A18="",0,IF($C18="Portfolio",1,IF(AND($B18="Project",$C18&lt;&gt;"",$C18&lt;&gt;"Outside the portfolio"),IFERROR(IF(AND(INDEX($B$6:$B$305,MATCH($C18,$A$6:$A$305,0))="Program",INDEX($C$6:$C$305,MATCH($C18,$A$6:$A$305,0))="Portfolio"),1,0),0),0)))</f>
        <v/>
      </c>
      <c r="AA18" s="28">
        <f>IF(AND($A18&lt;&gt;"",$E18="",OR($Q18=1,$D18="Proposed")),1,0)</f>
        <v/>
      </c>
      <c r="AB18" s="28">
        <f>IF(AND($A18&lt;&gt;"",$B18="Program",$F18="",$Q18=1),1,0)</f>
        <v/>
      </c>
      <c r="AC18" s="28">
        <f>IF(OR($A18="",$D18="Completed",$D18="Terminated"),0,IF($C18="",1,IF($C18="Portfolio",0,IF($C18="Outside the portfolio",IF($Q18=1,2,0),IF($B18="Project",IF(IFERROR(INDEX($B$6:$B$305,MATCH($C18,$A$6:$A$305,0)),"")="Program",0,1),1)))))</f>
        <v/>
      </c>
      <c r="AD18" s="28">
        <f>IF(AND($A18&lt;&gt;"",OR($M18="■ Red",$M18="◧ Amber"),$L18=""),1,0)</f>
        <v/>
      </c>
      <c r="AE18" s="28">
        <f>$AA18+$AB18+IF($AC18&gt;0,1,0)+$AD18+$AG18+$AH18</f>
        <v/>
      </c>
      <c r="AF18" s="25" t="n"/>
      <c r="AG18" s="28">
        <f>IF(AND($A18&lt;&gt;"",$K18&lt;&gt;"",$C18&lt;&gt;"Portfolio",$D18&lt;&gt;"Completed",$D18&lt;&gt;"Terminated"),1,0)</f>
        <v/>
      </c>
      <c r="AH18" s="28">
        <f>IF(AND($A18&lt;&gt;"",COUNTIF($A$6:$A$305,$A18)&gt;1),1,0)</f>
        <v/>
      </c>
      <c r="AI18" s="28">
        <f>IF(AND($A18&lt;&gt;"",$C18="Portfolio"),COUNTIFS($C$6:$C18,"Portfolio",$A$6:$A18,"&lt;&gt;"),"")</f>
        <v/>
      </c>
    </row>
    <row r="19">
      <c r="A19" s="25" t="n"/>
      <c r="B19" s="25" t="n"/>
      <c r="C19" s="25" t="n"/>
      <c r="D19" s="25" t="n"/>
      <c r="E19" s="25" t="n"/>
      <c r="F19" s="25" t="n"/>
      <c r="G19" s="25" t="n"/>
      <c r="H19" s="26" t="n"/>
      <c r="I19" s="26" t="n"/>
      <c r="J19" s="27" t="n"/>
      <c r="K19" s="27" t="n"/>
      <c r="L19" s="23" t="n"/>
      <c r="M19" s="28">
        <f>IF($A19="","",IF($D19="","Not read",IF($Q19=0,"Not counted",IF(MAX($X19,$Y19)=3,"■ Red",IF(MAX($X19,$Y19)=2,"◧ Amber",IF(MAX($X19,$Y19)=1,"□ On track","Not read"))))))</f>
        <v/>
      </c>
      <c r="N19" s="28">
        <f>IF(OR($A19="",$B19&lt;&gt;"Program"),"","■ "&amp;COUNTIFS($C$6:$C$305,$A19,$M$6:$M$305,"■ Red")&amp;" Red, ◧ "&amp;COUNTIFS($C$6:$C$305,$A19,$M$6:$M$305,"◧ Amber")&amp;" Amber")</f>
        <v/>
      </c>
      <c r="O19" s="29">
        <f>IF(OR($A19="",$E19=""),"",COUNTIFS($E$6:$E$305,$E19,$D$6:$D$305,"Active")+COUNTIFS($E$6:$E$305,$E19,$D$6:$D$305,"Paused"))</f>
        <v/>
      </c>
      <c r="P19" s="28">
        <f>IF($A19="","",IF($AE19=0,"○ Clear",IF($AA19=1,"△ No owner",IF($AC19=1,"△ Check Sits under",IF($AC19=2,"△ Outside the portfolio",IF($AB19=1,"△ No sponsor",IF($AH19=1,"△ Name used twice",IF($AG19=1,"△ Budget only counts under Portfolio","△ No variance note"))))))&amp;IF($AE19&gt;1," (+"&amp;($AE19-1)&amp;" more)","")))</f>
        <v/>
      </c>
      <c r="Q19" s="28">
        <f>IF(AND($A19&lt;&gt;"",OR($D19="Active",$D19="Paused")),1,0)</f>
        <v/>
      </c>
      <c r="R19" s="28">
        <f>IFERROR(INDEX($A$6:$A$305,MATCH(12,$S$6:$S$305,0)),"")</f>
        <v/>
      </c>
      <c r="S19" s="28">
        <f>IF(AND($A19&lt;&gt;"",$B19="Program"),COUNTIFS($B$6:$B19,"Program",$A$6:$A19,"&lt;&gt;"),"")</f>
        <v/>
      </c>
      <c r="T19" s="30">
        <f>IF(AND($A19&lt;&gt;"",$B19="Program"),SUMPRODUCT(MAX(($C$6:$C$305=$A19)*($B$6:$B$305="Project")*($D$6:$D$305&lt;&gt;"Proposed")*$I$6:$I$305)),0)</f>
        <v/>
      </c>
      <c r="U19" s="30">
        <f>IF($I19&lt;&gt;"",$I19,IF($T19&gt;0,$T19,""))</f>
        <v/>
      </c>
      <c r="V19" s="28">
        <f>IF(AND($A19&lt;&gt;"",$B19="Program"),SUMIFS($J$6:$J$305,$C$6:$C$305,$A19,$B$6:$B$305,"Project",$D$6:$D$305,"&lt;&gt;Proposed"),0)</f>
        <v/>
      </c>
      <c r="W19" s="28">
        <f>IF(AND($A19&lt;&gt;"",$B19="Program"),COUNTIFS($C$6:$C$305,$A19,$B$6:$B$305,"Project",$D$6:$D$305,"&lt;&gt;Proposed")-COUNTIFS($C$6:$C$305,$A19,$B$6:$B$305,"Project",$D$6:$D$305,"&lt;&gt;Proposed",$J$6:$J$305,"&gt;=0"),0)</f>
        <v/>
      </c>
      <c r="X19" s="28">
        <f>IF(OR($Q19=0,$H19="",$AF19="Sprint"),0,IF(AND($B19="Project",$H19&lt;TODAY()),3,IF($U19="",0,IF($U19&lt;=$H19,1,IF(NETWORKDAYS($H19,$U19)-1&gt;IF($B19="Program",Checks!$B$7,Checks!$B$6),3,2)))))</f>
        <v/>
      </c>
      <c r="Y19" s="28">
        <f>IF(OR($Q19=0,$K19="",$K19=0,$AF19="Sprint"),0,IF(AND($B19="Project",$J19=""),0,IF(IF($B19="Program",$V19,$J19)&gt;$K19*(1+Checks!$B$8),3,IF(IF($B19="Program",$V19,$J19)&gt;$K19,2,IF(AND($B19="Program",OR($W19&gt;0,$V19=0)),0,1)))))</f>
        <v/>
      </c>
      <c r="Z19" s="28">
        <f>IF($A19="",0,IF($C19="Portfolio",1,IF(AND($B19="Project",$C19&lt;&gt;"",$C19&lt;&gt;"Outside the portfolio"),IFERROR(IF(AND(INDEX($B$6:$B$305,MATCH($C19,$A$6:$A$305,0))="Program",INDEX($C$6:$C$305,MATCH($C19,$A$6:$A$305,0))="Portfolio"),1,0),0),0)))</f>
        <v/>
      </c>
      <c r="AA19" s="28">
        <f>IF(AND($A19&lt;&gt;"",$E19="",OR($Q19=1,$D19="Proposed")),1,0)</f>
        <v/>
      </c>
      <c r="AB19" s="28">
        <f>IF(AND($A19&lt;&gt;"",$B19="Program",$F19="",$Q19=1),1,0)</f>
        <v/>
      </c>
      <c r="AC19" s="28">
        <f>IF(OR($A19="",$D19="Completed",$D19="Terminated"),0,IF($C19="",1,IF($C19="Portfolio",0,IF($C19="Outside the portfolio",IF($Q19=1,2,0),IF($B19="Project",IF(IFERROR(INDEX($B$6:$B$305,MATCH($C19,$A$6:$A$305,0)),"")="Program",0,1),1)))))</f>
        <v/>
      </c>
      <c r="AD19" s="28">
        <f>IF(AND($A19&lt;&gt;"",OR($M19="■ Red",$M19="◧ Amber"),$L19=""),1,0)</f>
        <v/>
      </c>
      <c r="AE19" s="28">
        <f>$AA19+$AB19+IF($AC19&gt;0,1,0)+$AD19+$AG19+$AH19</f>
        <v/>
      </c>
      <c r="AF19" s="25" t="n"/>
      <c r="AG19" s="28">
        <f>IF(AND($A19&lt;&gt;"",$K19&lt;&gt;"",$C19&lt;&gt;"Portfolio",$D19&lt;&gt;"Completed",$D19&lt;&gt;"Terminated"),1,0)</f>
        <v/>
      </c>
      <c r="AH19" s="28">
        <f>IF(AND($A19&lt;&gt;"",COUNTIF($A$6:$A$305,$A19)&gt;1),1,0)</f>
        <v/>
      </c>
      <c r="AI19" s="28">
        <f>IF(AND($A19&lt;&gt;"",$C19="Portfolio"),COUNTIFS($C$6:$C19,"Portfolio",$A$6:$A19,"&lt;&gt;"),"")</f>
        <v/>
      </c>
    </row>
    <row r="20">
      <c r="A20" s="25" t="n"/>
      <c r="B20" s="25" t="n"/>
      <c r="C20" s="25" t="n"/>
      <c r="D20" s="25" t="n"/>
      <c r="E20" s="25" t="n"/>
      <c r="F20" s="25" t="n"/>
      <c r="G20" s="25" t="n"/>
      <c r="H20" s="26" t="n"/>
      <c r="I20" s="26" t="n"/>
      <c r="J20" s="27" t="n"/>
      <c r="K20" s="27" t="n"/>
      <c r="L20" s="23" t="n"/>
      <c r="M20" s="28">
        <f>IF($A20="","",IF($D20="","Not read",IF($Q20=0,"Not counted",IF(MAX($X20,$Y20)=3,"■ Red",IF(MAX($X20,$Y20)=2,"◧ Amber",IF(MAX($X20,$Y20)=1,"□ On track","Not read"))))))</f>
        <v/>
      </c>
      <c r="N20" s="28">
        <f>IF(OR($A20="",$B20&lt;&gt;"Program"),"","■ "&amp;COUNTIFS($C$6:$C$305,$A20,$M$6:$M$305,"■ Red")&amp;" Red, ◧ "&amp;COUNTIFS($C$6:$C$305,$A20,$M$6:$M$305,"◧ Amber")&amp;" Amber")</f>
        <v/>
      </c>
      <c r="O20" s="29">
        <f>IF(OR($A20="",$E20=""),"",COUNTIFS($E$6:$E$305,$E20,$D$6:$D$305,"Active")+COUNTIFS($E$6:$E$305,$E20,$D$6:$D$305,"Paused"))</f>
        <v/>
      </c>
      <c r="P20" s="28">
        <f>IF($A20="","",IF($AE20=0,"○ Clear",IF($AA20=1,"△ No owner",IF($AC20=1,"△ Check Sits under",IF($AC20=2,"△ Outside the portfolio",IF($AB20=1,"△ No sponsor",IF($AH20=1,"△ Name used twice",IF($AG20=1,"△ Budget only counts under Portfolio","△ No variance note"))))))&amp;IF($AE20&gt;1," (+"&amp;($AE20-1)&amp;" more)","")))</f>
        <v/>
      </c>
      <c r="Q20" s="28">
        <f>IF(AND($A20&lt;&gt;"",OR($D20="Active",$D20="Paused")),1,0)</f>
        <v/>
      </c>
      <c r="R20" s="28">
        <f>IFERROR(INDEX($A$6:$A$305,MATCH(13,$S$6:$S$305,0)),"")</f>
        <v/>
      </c>
      <c r="S20" s="28">
        <f>IF(AND($A20&lt;&gt;"",$B20="Program"),COUNTIFS($B$6:$B20,"Program",$A$6:$A20,"&lt;&gt;"),"")</f>
        <v/>
      </c>
      <c r="T20" s="30">
        <f>IF(AND($A20&lt;&gt;"",$B20="Program"),SUMPRODUCT(MAX(($C$6:$C$305=$A20)*($B$6:$B$305="Project")*($D$6:$D$305&lt;&gt;"Proposed")*$I$6:$I$305)),0)</f>
        <v/>
      </c>
      <c r="U20" s="30">
        <f>IF($I20&lt;&gt;"",$I20,IF($T20&gt;0,$T20,""))</f>
        <v/>
      </c>
      <c r="V20" s="28">
        <f>IF(AND($A20&lt;&gt;"",$B20="Program"),SUMIFS($J$6:$J$305,$C$6:$C$305,$A20,$B$6:$B$305,"Project",$D$6:$D$305,"&lt;&gt;Proposed"),0)</f>
        <v/>
      </c>
      <c r="W20" s="28">
        <f>IF(AND($A20&lt;&gt;"",$B20="Program"),COUNTIFS($C$6:$C$305,$A20,$B$6:$B$305,"Project",$D$6:$D$305,"&lt;&gt;Proposed")-COUNTIFS($C$6:$C$305,$A20,$B$6:$B$305,"Project",$D$6:$D$305,"&lt;&gt;Proposed",$J$6:$J$305,"&gt;=0"),0)</f>
        <v/>
      </c>
      <c r="X20" s="28">
        <f>IF(OR($Q20=0,$H20="",$AF20="Sprint"),0,IF(AND($B20="Project",$H20&lt;TODAY()),3,IF($U20="",0,IF($U20&lt;=$H20,1,IF(NETWORKDAYS($H20,$U20)-1&gt;IF($B20="Program",Checks!$B$7,Checks!$B$6),3,2)))))</f>
        <v/>
      </c>
      <c r="Y20" s="28">
        <f>IF(OR($Q20=0,$K20="",$K20=0,$AF20="Sprint"),0,IF(AND($B20="Project",$J20=""),0,IF(IF($B20="Program",$V20,$J20)&gt;$K20*(1+Checks!$B$8),3,IF(IF($B20="Program",$V20,$J20)&gt;$K20,2,IF(AND($B20="Program",OR($W20&gt;0,$V20=0)),0,1)))))</f>
        <v/>
      </c>
      <c r="Z20" s="28">
        <f>IF($A20="",0,IF($C20="Portfolio",1,IF(AND($B20="Project",$C20&lt;&gt;"",$C20&lt;&gt;"Outside the portfolio"),IFERROR(IF(AND(INDEX($B$6:$B$305,MATCH($C20,$A$6:$A$305,0))="Program",INDEX($C$6:$C$305,MATCH($C20,$A$6:$A$305,0))="Portfolio"),1,0),0),0)))</f>
        <v/>
      </c>
      <c r="AA20" s="28">
        <f>IF(AND($A20&lt;&gt;"",$E20="",OR($Q20=1,$D20="Proposed")),1,0)</f>
        <v/>
      </c>
      <c r="AB20" s="28">
        <f>IF(AND($A20&lt;&gt;"",$B20="Program",$F20="",$Q20=1),1,0)</f>
        <v/>
      </c>
      <c r="AC20" s="28">
        <f>IF(OR($A20="",$D20="Completed",$D20="Terminated"),0,IF($C20="",1,IF($C20="Portfolio",0,IF($C20="Outside the portfolio",IF($Q20=1,2,0),IF($B20="Project",IF(IFERROR(INDEX($B$6:$B$305,MATCH($C20,$A$6:$A$305,0)),"")="Program",0,1),1)))))</f>
        <v/>
      </c>
      <c r="AD20" s="28">
        <f>IF(AND($A20&lt;&gt;"",OR($M20="■ Red",$M20="◧ Amber"),$L20=""),1,0)</f>
        <v/>
      </c>
      <c r="AE20" s="28">
        <f>$AA20+$AB20+IF($AC20&gt;0,1,0)+$AD20+$AG20+$AH20</f>
        <v/>
      </c>
      <c r="AF20" s="25" t="n"/>
      <c r="AG20" s="28">
        <f>IF(AND($A20&lt;&gt;"",$K20&lt;&gt;"",$C20&lt;&gt;"Portfolio",$D20&lt;&gt;"Completed",$D20&lt;&gt;"Terminated"),1,0)</f>
        <v/>
      </c>
      <c r="AH20" s="28">
        <f>IF(AND($A20&lt;&gt;"",COUNTIF($A$6:$A$305,$A20)&gt;1),1,0)</f>
        <v/>
      </c>
      <c r="AI20" s="28">
        <f>IF(AND($A20&lt;&gt;"",$C20="Portfolio"),COUNTIFS($C$6:$C20,"Portfolio",$A$6:$A20,"&lt;&gt;"),"")</f>
        <v/>
      </c>
    </row>
    <row r="21">
      <c r="A21" s="25" t="n"/>
      <c r="B21" s="25" t="n"/>
      <c r="C21" s="25" t="n"/>
      <c r="D21" s="25" t="n"/>
      <c r="E21" s="25" t="n"/>
      <c r="F21" s="25" t="n"/>
      <c r="G21" s="25" t="n"/>
      <c r="H21" s="26" t="n"/>
      <c r="I21" s="26" t="n"/>
      <c r="J21" s="27" t="n"/>
      <c r="K21" s="27" t="n"/>
      <c r="L21" s="23" t="n"/>
      <c r="M21" s="28">
        <f>IF($A21="","",IF($D21="","Not read",IF($Q21=0,"Not counted",IF(MAX($X21,$Y21)=3,"■ Red",IF(MAX($X21,$Y21)=2,"◧ Amber",IF(MAX($X21,$Y21)=1,"□ On track","Not read"))))))</f>
        <v/>
      </c>
      <c r="N21" s="28">
        <f>IF(OR($A21="",$B21&lt;&gt;"Program"),"","■ "&amp;COUNTIFS($C$6:$C$305,$A21,$M$6:$M$305,"■ Red")&amp;" Red, ◧ "&amp;COUNTIFS($C$6:$C$305,$A21,$M$6:$M$305,"◧ Amber")&amp;" Amber")</f>
        <v/>
      </c>
      <c r="O21" s="29">
        <f>IF(OR($A21="",$E21=""),"",COUNTIFS($E$6:$E$305,$E21,$D$6:$D$305,"Active")+COUNTIFS($E$6:$E$305,$E21,$D$6:$D$305,"Paused"))</f>
        <v/>
      </c>
      <c r="P21" s="28">
        <f>IF($A21="","",IF($AE21=0,"○ Clear",IF($AA21=1,"△ No owner",IF($AC21=1,"△ Check Sits under",IF($AC21=2,"△ Outside the portfolio",IF($AB21=1,"△ No sponsor",IF($AH21=1,"△ Name used twice",IF($AG21=1,"△ Budget only counts under Portfolio","△ No variance note"))))))&amp;IF($AE21&gt;1," (+"&amp;($AE21-1)&amp;" more)","")))</f>
        <v/>
      </c>
      <c r="Q21" s="28">
        <f>IF(AND($A21&lt;&gt;"",OR($D21="Active",$D21="Paused")),1,0)</f>
        <v/>
      </c>
      <c r="R21" s="28">
        <f>IFERROR(INDEX($A$6:$A$305,MATCH(14,$S$6:$S$305,0)),"")</f>
        <v/>
      </c>
      <c r="S21" s="28">
        <f>IF(AND($A21&lt;&gt;"",$B21="Program"),COUNTIFS($B$6:$B21,"Program",$A$6:$A21,"&lt;&gt;"),"")</f>
        <v/>
      </c>
      <c r="T21" s="30">
        <f>IF(AND($A21&lt;&gt;"",$B21="Program"),SUMPRODUCT(MAX(($C$6:$C$305=$A21)*($B$6:$B$305="Project")*($D$6:$D$305&lt;&gt;"Proposed")*$I$6:$I$305)),0)</f>
        <v/>
      </c>
      <c r="U21" s="30">
        <f>IF($I21&lt;&gt;"",$I21,IF($T21&gt;0,$T21,""))</f>
        <v/>
      </c>
      <c r="V21" s="28">
        <f>IF(AND($A21&lt;&gt;"",$B21="Program"),SUMIFS($J$6:$J$305,$C$6:$C$305,$A21,$B$6:$B$305,"Project",$D$6:$D$305,"&lt;&gt;Proposed"),0)</f>
        <v/>
      </c>
      <c r="W21" s="28">
        <f>IF(AND($A21&lt;&gt;"",$B21="Program"),COUNTIFS($C$6:$C$305,$A21,$B$6:$B$305,"Project",$D$6:$D$305,"&lt;&gt;Proposed")-COUNTIFS($C$6:$C$305,$A21,$B$6:$B$305,"Project",$D$6:$D$305,"&lt;&gt;Proposed",$J$6:$J$305,"&gt;=0"),0)</f>
        <v/>
      </c>
      <c r="X21" s="28">
        <f>IF(OR($Q21=0,$H21="",$AF21="Sprint"),0,IF(AND($B21="Project",$H21&lt;TODAY()),3,IF($U21="",0,IF($U21&lt;=$H21,1,IF(NETWORKDAYS($H21,$U21)-1&gt;IF($B21="Program",Checks!$B$7,Checks!$B$6),3,2)))))</f>
        <v/>
      </c>
      <c r="Y21" s="28">
        <f>IF(OR($Q21=0,$K21="",$K21=0,$AF21="Sprint"),0,IF(AND($B21="Project",$J21=""),0,IF(IF($B21="Program",$V21,$J21)&gt;$K21*(1+Checks!$B$8),3,IF(IF($B21="Program",$V21,$J21)&gt;$K21,2,IF(AND($B21="Program",OR($W21&gt;0,$V21=0)),0,1)))))</f>
        <v/>
      </c>
      <c r="Z21" s="28">
        <f>IF($A21="",0,IF($C21="Portfolio",1,IF(AND($B21="Project",$C21&lt;&gt;"",$C21&lt;&gt;"Outside the portfolio"),IFERROR(IF(AND(INDEX($B$6:$B$305,MATCH($C21,$A$6:$A$305,0))="Program",INDEX($C$6:$C$305,MATCH($C21,$A$6:$A$305,0))="Portfolio"),1,0),0),0)))</f>
        <v/>
      </c>
      <c r="AA21" s="28">
        <f>IF(AND($A21&lt;&gt;"",$E21="",OR($Q21=1,$D21="Proposed")),1,0)</f>
        <v/>
      </c>
      <c r="AB21" s="28">
        <f>IF(AND($A21&lt;&gt;"",$B21="Program",$F21="",$Q21=1),1,0)</f>
        <v/>
      </c>
      <c r="AC21" s="28">
        <f>IF(OR($A21="",$D21="Completed",$D21="Terminated"),0,IF($C21="",1,IF($C21="Portfolio",0,IF($C21="Outside the portfolio",IF($Q21=1,2,0),IF($B21="Project",IF(IFERROR(INDEX($B$6:$B$305,MATCH($C21,$A$6:$A$305,0)),"")="Program",0,1),1)))))</f>
        <v/>
      </c>
      <c r="AD21" s="28">
        <f>IF(AND($A21&lt;&gt;"",OR($M21="■ Red",$M21="◧ Amber"),$L21=""),1,0)</f>
        <v/>
      </c>
      <c r="AE21" s="28">
        <f>$AA21+$AB21+IF($AC21&gt;0,1,0)+$AD21+$AG21+$AH21</f>
        <v/>
      </c>
      <c r="AF21" s="25" t="n"/>
      <c r="AG21" s="28">
        <f>IF(AND($A21&lt;&gt;"",$K21&lt;&gt;"",$C21&lt;&gt;"Portfolio",$D21&lt;&gt;"Completed",$D21&lt;&gt;"Terminated"),1,0)</f>
        <v/>
      </c>
      <c r="AH21" s="28">
        <f>IF(AND($A21&lt;&gt;"",COUNTIF($A$6:$A$305,$A21)&gt;1),1,0)</f>
        <v/>
      </c>
      <c r="AI21" s="28">
        <f>IF(AND($A21&lt;&gt;"",$C21="Portfolio"),COUNTIFS($C$6:$C21,"Portfolio",$A$6:$A21,"&lt;&gt;"),"")</f>
        <v/>
      </c>
    </row>
    <row r="22">
      <c r="A22" s="25" t="n"/>
      <c r="B22" s="25" t="n"/>
      <c r="C22" s="25" t="n"/>
      <c r="D22" s="25" t="n"/>
      <c r="E22" s="25" t="n"/>
      <c r="F22" s="25" t="n"/>
      <c r="G22" s="25" t="n"/>
      <c r="H22" s="26" t="n"/>
      <c r="I22" s="26" t="n"/>
      <c r="J22" s="27" t="n"/>
      <c r="K22" s="27" t="n"/>
      <c r="L22" s="23" t="n"/>
      <c r="M22" s="28">
        <f>IF($A22="","",IF($D22="","Not read",IF($Q22=0,"Not counted",IF(MAX($X22,$Y22)=3,"■ Red",IF(MAX($X22,$Y22)=2,"◧ Amber",IF(MAX($X22,$Y22)=1,"□ On track","Not read"))))))</f>
        <v/>
      </c>
      <c r="N22" s="28">
        <f>IF(OR($A22="",$B22&lt;&gt;"Program"),"","■ "&amp;COUNTIFS($C$6:$C$305,$A22,$M$6:$M$305,"■ Red")&amp;" Red, ◧ "&amp;COUNTIFS($C$6:$C$305,$A22,$M$6:$M$305,"◧ Amber")&amp;" Amber")</f>
        <v/>
      </c>
      <c r="O22" s="29">
        <f>IF(OR($A22="",$E22=""),"",COUNTIFS($E$6:$E$305,$E22,$D$6:$D$305,"Active")+COUNTIFS($E$6:$E$305,$E22,$D$6:$D$305,"Paused"))</f>
        <v/>
      </c>
      <c r="P22" s="28">
        <f>IF($A22="","",IF($AE22=0,"○ Clear",IF($AA22=1,"△ No owner",IF($AC22=1,"△ Check Sits under",IF($AC22=2,"△ Outside the portfolio",IF($AB22=1,"△ No sponsor",IF($AH22=1,"△ Name used twice",IF($AG22=1,"△ Budget only counts under Portfolio","△ No variance note"))))))&amp;IF($AE22&gt;1," (+"&amp;($AE22-1)&amp;" more)","")))</f>
        <v/>
      </c>
      <c r="Q22" s="28">
        <f>IF(AND($A22&lt;&gt;"",OR($D22="Active",$D22="Paused")),1,0)</f>
        <v/>
      </c>
      <c r="R22" s="28">
        <f>IFERROR(INDEX($A$6:$A$305,MATCH(15,$S$6:$S$305,0)),"")</f>
        <v/>
      </c>
      <c r="S22" s="28">
        <f>IF(AND($A22&lt;&gt;"",$B22="Program"),COUNTIFS($B$6:$B22,"Program",$A$6:$A22,"&lt;&gt;"),"")</f>
        <v/>
      </c>
      <c r="T22" s="30">
        <f>IF(AND($A22&lt;&gt;"",$B22="Program"),SUMPRODUCT(MAX(($C$6:$C$305=$A22)*($B$6:$B$305="Project")*($D$6:$D$305&lt;&gt;"Proposed")*$I$6:$I$305)),0)</f>
        <v/>
      </c>
      <c r="U22" s="30">
        <f>IF($I22&lt;&gt;"",$I22,IF($T22&gt;0,$T22,""))</f>
        <v/>
      </c>
      <c r="V22" s="28">
        <f>IF(AND($A22&lt;&gt;"",$B22="Program"),SUMIFS($J$6:$J$305,$C$6:$C$305,$A22,$B$6:$B$305,"Project",$D$6:$D$305,"&lt;&gt;Proposed"),0)</f>
        <v/>
      </c>
      <c r="W22" s="28">
        <f>IF(AND($A22&lt;&gt;"",$B22="Program"),COUNTIFS($C$6:$C$305,$A22,$B$6:$B$305,"Project",$D$6:$D$305,"&lt;&gt;Proposed")-COUNTIFS($C$6:$C$305,$A22,$B$6:$B$305,"Project",$D$6:$D$305,"&lt;&gt;Proposed",$J$6:$J$305,"&gt;=0"),0)</f>
        <v/>
      </c>
      <c r="X22" s="28">
        <f>IF(OR($Q22=0,$H22="",$AF22="Sprint"),0,IF(AND($B22="Project",$H22&lt;TODAY()),3,IF($U22="",0,IF($U22&lt;=$H22,1,IF(NETWORKDAYS($H22,$U22)-1&gt;IF($B22="Program",Checks!$B$7,Checks!$B$6),3,2)))))</f>
        <v/>
      </c>
      <c r="Y22" s="28">
        <f>IF(OR($Q22=0,$K22="",$K22=0,$AF22="Sprint"),0,IF(AND($B22="Project",$J22=""),0,IF(IF($B22="Program",$V22,$J22)&gt;$K22*(1+Checks!$B$8),3,IF(IF($B22="Program",$V22,$J22)&gt;$K22,2,IF(AND($B22="Program",OR($W22&gt;0,$V22=0)),0,1)))))</f>
        <v/>
      </c>
      <c r="Z22" s="28">
        <f>IF($A22="",0,IF($C22="Portfolio",1,IF(AND($B22="Project",$C22&lt;&gt;"",$C22&lt;&gt;"Outside the portfolio"),IFERROR(IF(AND(INDEX($B$6:$B$305,MATCH($C22,$A$6:$A$305,0))="Program",INDEX($C$6:$C$305,MATCH($C22,$A$6:$A$305,0))="Portfolio"),1,0),0),0)))</f>
        <v/>
      </c>
      <c r="AA22" s="28">
        <f>IF(AND($A22&lt;&gt;"",$E22="",OR($Q22=1,$D22="Proposed")),1,0)</f>
        <v/>
      </c>
      <c r="AB22" s="28">
        <f>IF(AND($A22&lt;&gt;"",$B22="Program",$F22="",$Q22=1),1,0)</f>
        <v/>
      </c>
      <c r="AC22" s="28">
        <f>IF(OR($A22="",$D22="Completed",$D22="Terminated"),0,IF($C22="",1,IF($C22="Portfolio",0,IF($C22="Outside the portfolio",IF($Q22=1,2,0),IF($B22="Project",IF(IFERROR(INDEX($B$6:$B$305,MATCH($C22,$A$6:$A$305,0)),"")="Program",0,1),1)))))</f>
        <v/>
      </c>
      <c r="AD22" s="28">
        <f>IF(AND($A22&lt;&gt;"",OR($M22="■ Red",$M22="◧ Amber"),$L22=""),1,0)</f>
        <v/>
      </c>
      <c r="AE22" s="28">
        <f>$AA22+$AB22+IF($AC22&gt;0,1,0)+$AD22+$AG22+$AH22</f>
        <v/>
      </c>
      <c r="AF22" s="25" t="n"/>
      <c r="AG22" s="28">
        <f>IF(AND($A22&lt;&gt;"",$K22&lt;&gt;"",$C22&lt;&gt;"Portfolio",$D22&lt;&gt;"Completed",$D22&lt;&gt;"Terminated"),1,0)</f>
        <v/>
      </c>
      <c r="AH22" s="28">
        <f>IF(AND($A22&lt;&gt;"",COUNTIF($A$6:$A$305,$A22)&gt;1),1,0)</f>
        <v/>
      </c>
      <c r="AI22" s="28">
        <f>IF(AND($A22&lt;&gt;"",$C22="Portfolio"),COUNTIFS($C$6:$C22,"Portfolio",$A$6:$A22,"&lt;&gt;"),"")</f>
        <v/>
      </c>
    </row>
    <row r="23">
      <c r="A23" s="25" t="n"/>
      <c r="B23" s="25" t="n"/>
      <c r="C23" s="25" t="n"/>
      <c r="D23" s="25" t="n"/>
      <c r="E23" s="25" t="n"/>
      <c r="F23" s="25" t="n"/>
      <c r="G23" s="25" t="n"/>
      <c r="H23" s="26" t="n"/>
      <c r="I23" s="26" t="n"/>
      <c r="J23" s="27" t="n"/>
      <c r="K23" s="27" t="n"/>
      <c r="L23" s="23" t="n"/>
      <c r="M23" s="28">
        <f>IF($A23="","",IF($D23="","Not read",IF($Q23=0,"Not counted",IF(MAX($X23,$Y23)=3,"■ Red",IF(MAX($X23,$Y23)=2,"◧ Amber",IF(MAX($X23,$Y23)=1,"□ On track","Not read"))))))</f>
        <v/>
      </c>
      <c r="N23" s="28">
        <f>IF(OR($A23="",$B23&lt;&gt;"Program"),"","■ "&amp;COUNTIFS($C$6:$C$305,$A23,$M$6:$M$305,"■ Red")&amp;" Red, ◧ "&amp;COUNTIFS($C$6:$C$305,$A23,$M$6:$M$305,"◧ Amber")&amp;" Amber")</f>
        <v/>
      </c>
      <c r="O23" s="29">
        <f>IF(OR($A23="",$E23=""),"",COUNTIFS($E$6:$E$305,$E23,$D$6:$D$305,"Active")+COUNTIFS($E$6:$E$305,$E23,$D$6:$D$305,"Paused"))</f>
        <v/>
      </c>
      <c r="P23" s="28">
        <f>IF($A23="","",IF($AE23=0,"○ Clear",IF($AA23=1,"△ No owner",IF($AC23=1,"△ Check Sits under",IF($AC23=2,"△ Outside the portfolio",IF($AB23=1,"△ No sponsor",IF($AH23=1,"△ Name used twice",IF($AG23=1,"△ Budget only counts under Portfolio","△ No variance note"))))))&amp;IF($AE23&gt;1," (+"&amp;($AE23-1)&amp;" more)","")))</f>
        <v/>
      </c>
      <c r="Q23" s="28">
        <f>IF(AND($A23&lt;&gt;"",OR($D23="Active",$D23="Paused")),1,0)</f>
        <v/>
      </c>
      <c r="R23" s="28">
        <f>IFERROR(INDEX($A$6:$A$305,MATCH(16,$S$6:$S$305,0)),"")</f>
        <v/>
      </c>
      <c r="S23" s="28">
        <f>IF(AND($A23&lt;&gt;"",$B23="Program"),COUNTIFS($B$6:$B23,"Program",$A$6:$A23,"&lt;&gt;"),"")</f>
        <v/>
      </c>
      <c r="T23" s="30">
        <f>IF(AND($A23&lt;&gt;"",$B23="Program"),SUMPRODUCT(MAX(($C$6:$C$305=$A23)*($B$6:$B$305="Project")*($D$6:$D$305&lt;&gt;"Proposed")*$I$6:$I$305)),0)</f>
        <v/>
      </c>
      <c r="U23" s="30">
        <f>IF($I23&lt;&gt;"",$I23,IF($T23&gt;0,$T23,""))</f>
        <v/>
      </c>
      <c r="V23" s="28">
        <f>IF(AND($A23&lt;&gt;"",$B23="Program"),SUMIFS($J$6:$J$305,$C$6:$C$305,$A23,$B$6:$B$305,"Project",$D$6:$D$305,"&lt;&gt;Proposed"),0)</f>
        <v/>
      </c>
      <c r="W23" s="28">
        <f>IF(AND($A23&lt;&gt;"",$B23="Program"),COUNTIFS($C$6:$C$305,$A23,$B$6:$B$305,"Project",$D$6:$D$305,"&lt;&gt;Proposed")-COUNTIFS($C$6:$C$305,$A23,$B$6:$B$305,"Project",$D$6:$D$305,"&lt;&gt;Proposed",$J$6:$J$305,"&gt;=0"),0)</f>
        <v/>
      </c>
      <c r="X23" s="28">
        <f>IF(OR($Q23=0,$H23="",$AF23="Sprint"),0,IF(AND($B23="Project",$H23&lt;TODAY()),3,IF($U23="",0,IF($U23&lt;=$H23,1,IF(NETWORKDAYS($H23,$U23)-1&gt;IF($B23="Program",Checks!$B$7,Checks!$B$6),3,2)))))</f>
        <v/>
      </c>
      <c r="Y23" s="28">
        <f>IF(OR($Q23=0,$K23="",$K23=0,$AF23="Sprint"),0,IF(AND($B23="Project",$J23=""),0,IF(IF($B23="Program",$V23,$J23)&gt;$K23*(1+Checks!$B$8),3,IF(IF($B23="Program",$V23,$J23)&gt;$K23,2,IF(AND($B23="Program",OR($W23&gt;0,$V23=0)),0,1)))))</f>
        <v/>
      </c>
      <c r="Z23" s="28">
        <f>IF($A23="",0,IF($C23="Portfolio",1,IF(AND($B23="Project",$C23&lt;&gt;"",$C23&lt;&gt;"Outside the portfolio"),IFERROR(IF(AND(INDEX($B$6:$B$305,MATCH($C23,$A$6:$A$305,0))="Program",INDEX($C$6:$C$305,MATCH($C23,$A$6:$A$305,0))="Portfolio"),1,0),0),0)))</f>
        <v/>
      </c>
      <c r="AA23" s="28">
        <f>IF(AND($A23&lt;&gt;"",$E23="",OR($Q23=1,$D23="Proposed")),1,0)</f>
        <v/>
      </c>
      <c r="AB23" s="28">
        <f>IF(AND($A23&lt;&gt;"",$B23="Program",$F23="",$Q23=1),1,0)</f>
        <v/>
      </c>
      <c r="AC23" s="28">
        <f>IF(OR($A23="",$D23="Completed",$D23="Terminated"),0,IF($C23="",1,IF($C23="Portfolio",0,IF($C23="Outside the portfolio",IF($Q23=1,2,0),IF($B23="Project",IF(IFERROR(INDEX($B$6:$B$305,MATCH($C23,$A$6:$A$305,0)),"")="Program",0,1),1)))))</f>
        <v/>
      </c>
      <c r="AD23" s="28">
        <f>IF(AND($A23&lt;&gt;"",OR($M23="■ Red",$M23="◧ Amber"),$L23=""),1,0)</f>
        <v/>
      </c>
      <c r="AE23" s="28">
        <f>$AA23+$AB23+IF($AC23&gt;0,1,0)+$AD23+$AG23+$AH23</f>
        <v/>
      </c>
      <c r="AF23" s="25" t="n"/>
      <c r="AG23" s="28">
        <f>IF(AND($A23&lt;&gt;"",$K23&lt;&gt;"",$C23&lt;&gt;"Portfolio",$D23&lt;&gt;"Completed",$D23&lt;&gt;"Terminated"),1,0)</f>
        <v/>
      </c>
      <c r="AH23" s="28">
        <f>IF(AND($A23&lt;&gt;"",COUNTIF($A$6:$A$305,$A23)&gt;1),1,0)</f>
        <v/>
      </c>
      <c r="AI23" s="28">
        <f>IF(AND($A23&lt;&gt;"",$C23="Portfolio"),COUNTIFS($C$6:$C23,"Portfolio",$A$6:$A23,"&lt;&gt;"),"")</f>
        <v/>
      </c>
    </row>
    <row r="24">
      <c r="A24" s="25" t="n"/>
      <c r="B24" s="25" t="n"/>
      <c r="C24" s="25" t="n"/>
      <c r="D24" s="25" t="n"/>
      <c r="E24" s="25" t="n"/>
      <c r="F24" s="25" t="n"/>
      <c r="G24" s="25" t="n"/>
      <c r="H24" s="26" t="n"/>
      <c r="I24" s="26" t="n"/>
      <c r="J24" s="27" t="n"/>
      <c r="K24" s="27" t="n"/>
      <c r="L24" s="23" t="n"/>
      <c r="M24" s="28">
        <f>IF($A24="","",IF($D24="","Not read",IF($Q24=0,"Not counted",IF(MAX($X24,$Y24)=3,"■ Red",IF(MAX($X24,$Y24)=2,"◧ Amber",IF(MAX($X24,$Y24)=1,"□ On track","Not read"))))))</f>
        <v/>
      </c>
      <c r="N24" s="28">
        <f>IF(OR($A24="",$B24&lt;&gt;"Program"),"","■ "&amp;COUNTIFS($C$6:$C$305,$A24,$M$6:$M$305,"■ Red")&amp;" Red, ◧ "&amp;COUNTIFS($C$6:$C$305,$A24,$M$6:$M$305,"◧ Amber")&amp;" Amber")</f>
        <v/>
      </c>
      <c r="O24" s="29">
        <f>IF(OR($A24="",$E24=""),"",COUNTIFS($E$6:$E$305,$E24,$D$6:$D$305,"Active")+COUNTIFS($E$6:$E$305,$E24,$D$6:$D$305,"Paused"))</f>
        <v/>
      </c>
      <c r="P24" s="28">
        <f>IF($A24="","",IF($AE24=0,"○ Clear",IF($AA24=1,"△ No owner",IF($AC24=1,"△ Check Sits under",IF($AC24=2,"△ Outside the portfolio",IF($AB24=1,"△ No sponsor",IF($AH24=1,"△ Name used twice",IF($AG24=1,"△ Budget only counts under Portfolio","△ No variance note"))))))&amp;IF($AE24&gt;1," (+"&amp;($AE24-1)&amp;" more)","")))</f>
        <v/>
      </c>
      <c r="Q24" s="28">
        <f>IF(AND($A24&lt;&gt;"",OR($D24="Active",$D24="Paused")),1,0)</f>
        <v/>
      </c>
      <c r="R24" s="28">
        <f>IFERROR(INDEX($A$6:$A$305,MATCH(17,$S$6:$S$305,0)),"")</f>
        <v/>
      </c>
      <c r="S24" s="28">
        <f>IF(AND($A24&lt;&gt;"",$B24="Program"),COUNTIFS($B$6:$B24,"Program",$A$6:$A24,"&lt;&gt;"),"")</f>
        <v/>
      </c>
      <c r="T24" s="30">
        <f>IF(AND($A24&lt;&gt;"",$B24="Program"),SUMPRODUCT(MAX(($C$6:$C$305=$A24)*($B$6:$B$305="Project")*($D$6:$D$305&lt;&gt;"Proposed")*$I$6:$I$305)),0)</f>
        <v/>
      </c>
      <c r="U24" s="30">
        <f>IF($I24&lt;&gt;"",$I24,IF($T24&gt;0,$T24,""))</f>
        <v/>
      </c>
      <c r="V24" s="28">
        <f>IF(AND($A24&lt;&gt;"",$B24="Program"),SUMIFS($J$6:$J$305,$C$6:$C$305,$A24,$B$6:$B$305,"Project",$D$6:$D$305,"&lt;&gt;Proposed"),0)</f>
        <v/>
      </c>
      <c r="W24" s="28">
        <f>IF(AND($A24&lt;&gt;"",$B24="Program"),COUNTIFS($C$6:$C$305,$A24,$B$6:$B$305,"Project",$D$6:$D$305,"&lt;&gt;Proposed")-COUNTIFS($C$6:$C$305,$A24,$B$6:$B$305,"Project",$D$6:$D$305,"&lt;&gt;Proposed",$J$6:$J$305,"&gt;=0"),0)</f>
        <v/>
      </c>
      <c r="X24" s="28">
        <f>IF(OR($Q24=0,$H24="",$AF24="Sprint"),0,IF(AND($B24="Project",$H24&lt;TODAY()),3,IF($U24="",0,IF($U24&lt;=$H24,1,IF(NETWORKDAYS($H24,$U24)-1&gt;IF($B24="Program",Checks!$B$7,Checks!$B$6),3,2)))))</f>
        <v/>
      </c>
      <c r="Y24" s="28">
        <f>IF(OR($Q24=0,$K24="",$K24=0,$AF24="Sprint"),0,IF(AND($B24="Project",$J24=""),0,IF(IF($B24="Program",$V24,$J24)&gt;$K24*(1+Checks!$B$8),3,IF(IF($B24="Program",$V24,$J24)&gt;$K24,2,IF(AND($B24="Program",OR($W24&gt;0,$V24=0)),0,1)))))</f>
        <v/>
      </c>
      <c r="Z24" s="28">
        <f>IF($A24="",0,IF($C24="Portfolio",1,IF(AND($B24="Project",$C24&lt;&gt;"",$C24&lt;&gt;"Outside the portfolio"),IFERROR(IF(AND(INDEX($B$6:$B$305,MATCH($C24,$A$6:$A$305,0))="Program",INDEX($C$6:$C$305,MATCH($C24,$A$6:$A$305,0))="Portfolio"),1,0),0),0)))</f>
        <v/>
      </c>
      <c r="AA24" s="28">
        <f>IF(AND($A24&lt;&gt;"",$E24="",OR($Q24=1,$D24="Proposed")),1,0)</f>
        <v/>
      </c>
      <c r="AB24" s="28">
        <f>IF(AND($A24&lt;&gt;"",$B24="Program",$F24="",$Q24=1),1,0)</f>
        <v/>
      </c>
      <c r="AC24" s="28">
        <f>IF(OR($A24="",$D24="Completed",$D24="Terminated"),0,IF($C24="",1,IF($C24="Portfolio",0,IF($C24="Outside the portfolio",IF($Q24=1,2,0),IF($B24="Project",IF(IFERROR(INDEX($B$6:$B$305,MATCH($C24,$A$6:$A$305,0)),"")="Program",0,1),1)))))</f>
        <v/>
      </c>
      <c r="AD24" s="28">
        <f>IF(AND($A24&lt;&gt;"",OR($M24="■ Red",$M24="◧ Amber"),$L24=""),1,0)</f>
        <v/>
      </c>
      <c r="AE24" s="28">
        <f>$AA24+$AB24+IF($AC24&gt;0,1,0)+$AD24+$AG24+$AH24</f>
        <v/>
      </c>
      <c r="AF24" s="25" t="n"/>
      <c r="AG24" s="28">
        <f>IF(AND($A24&lt;&gt;"",$K24&lt;&gt;"",$C24&lt;&gt;"Portfolio",$D24&lt;&gt;"Completed",$D24&lt;&gt;"Terminated"),1,0)</f>
        <v/>
      </c>
      <c r="AH24" s="28">
        <f>IF(AND($A24&lt;&gt;"",COUNTIF($A$6:$A$305,$A24)&gt;1),1,0)</f>
        <v/>
      </c>
      <c r="AI24" s="28">
        <f>IF(AND($A24&lt;&gt;"",$C24="Portfolio"),COUNTIFS($C$6:$C24,"Portfolio",$A$6:$A24,"&lt;&gt;"),"")</f>
        <v/>
      </c>
    </row>
    <row r="25">
      <c r="A25" s="25" t="n"/>
      <c r="B25" s="25" t="n"/>
      <c r="C25" s="25" t="n"/>
      <c r="D25" s="25" t="n"/>
      <c r="E25" s="25" t="n"/>
      <c r="F25" s="25" t="n"/>
      <c r="G25" s="25" t="n"/>
      <c r="H25" s="26" t="n"/>
      <c r="I25" s="26" t="n"/>
      <c r="J25" s="27" t="n"/>
      <c r="K25" s="27" t="n"/>
      <c r="L25" s="23" t="n"/>
      <c r="M25" s="28">
        <f>IF($A25="","",IF($D25="","Not read",IF($Q25=0,"Not counted",IF(MAX($X25,$Y25)=3,"■ Red",IF(MAX($X25,$Y25)=2,"◧ Amber",IF(MAX($X25,$Y25)=1,"□ On track","Not read"))))))</f>
        <v/>
      </c>
      <c r="N25" s="28">
        <f>IF(OR($A25="",$B25&lt;&gt;"Program"),"","■ "&amp;COUNTIFS($C$6:$C$305,$A25,$M$6:$M$305,"■ Red")&amp;" Red, ◧ "&amp;COUNTIFS($C$6:$C$305,$A25,$M$6:$M$305,"◧ Amber")&amp;" Amber")</f>
        <v/>
      </c>
      <c r="O25" s="29">
        <f>IF(OR($A25="",$E25=""),"",COUNTIFS($E$6:$E$305,$E25,$D$6:$D$305,"Active")+COUNTIFS($E$6:$E$305,$E25,$D$6:$D$305,"Paused"))</f>
        <v/>
      </c>
      <c r="P25" s="28">
        <f>IF($A25="","",IF($AE25=0,"○ Clear",IF($AA25=1,"△ No owner",IF($AC25=1,"△ Check Sits under",IF($AC25=2,"△ Outside the portfolio",IF($AB25=1,"△ No sponsor",IF($AH25=1,"△ Name used twice",IF($AG25=1,"△ Budget only counts under Portfolio","△ No variance note"))))))&amp;IF($AE25&gt;1," (+"&amp;($AE25-1)&amp;" more)","")))</f>
        <v/>
      </c>
      <c r="Q25" s="28">
        <f>IF(AND($A25&lt;&gt;"",OR($D25="Active",$D25="Paused")),1,0)</f>
        <v/>
      </c>
      <c r="R25" s="28">
        <f>IFERROR(INDEX($A$6:$A$305,MATCH(18,$S$6:$S$305,0)),"")</f>
        <v/>
      </c>
      <c r="S25" s="28">
        <f>IF(AND($A25&lt;&gt;"",$B25="Program"),COUNTIFS($B$6:$B25,"Program",$A$6:$A25,"&lt;&gt;"),"")</f>
        <v/>
      </c>
      <c r="T25" s="30">
        <f>IF(AND($A25&lt;&gt;"",$B25="Program"),SUMPRODUCT(MAX(($C$6:$C$305=$A25)*($B$6:$B$305="Project")*($D$6:$D$305&lt;&gt;"Proposed")*$I$6:$I$305)),0)</f>
        <v/>
      </c>
      <c r="U25" s="30">
        <f>IF($I25&lt;&gt;"",$I25,IF($T25&gt;0,$T25,""))</f>
        <v/>
      </c>
      <c r="V25" s="28">
        <f>IF(AND($A25&lt;&gt;"",$B25="Program"),SUMIFS($J$6:$J$305,$C$6:$C$305,$A25,$B$6:$B$305,"Project",$D$6:$D$305,"&lt;&gt;Proposed"),0)</f>
        <v/>
      </c>
      <c r="W25" s="28">
        <f>IF(AND($A25&lt;&gt;"",$B25="Program"),COUNTIFS($C$6:$C$305,$A25,$B$6:$B$305,"Project",$D$6:$D$305,"&lt;&gt;Proposed")-COUNTIFS($C$6:$C$305,$A25,$B$6:$B$305,"Project",$D$6:$D$305,"&lt;&gt;Proposed",$J$6:$J$305,"&gt;=0"),0)</f>
        <v/>
      </c>
      <c r="X25" s="28">
        <f>IF(OR($Q25=0,$H25="",$AF25="Sprint"),0,IF(AND($B25="Project",$H25&lt;TODAY()),3,IF($U25="",0,IF($U25&lt;=$H25,1,IF(NETWORKDAYS($H25,$U25)-1&gt;IF($B25="Program",Checks!$B$7,Checks!$B$6),3,2)))))</f>
        <v/>
      </c>
      <c r="Y25" s="28">
        <f>IF(OR($Q25=0,$K25="",$K25=0,$AF25="Sprint"),0,IF(AND($B25="Project",$J25=""),0,IF(IF($B25="Program",$V25,$J25)&gt;$K25*(1+Checks!$B$8),3,IF(IF($B25="Program",$V25,$J25)&gt;$K25,2,IF(AND($B25="Program",OR($W25&gt;0,$V25=0)),0,1)))))</f>
        <v/>
      </c>
      <c r="Z25" s="28">
        <f>IF($A25="",0,IF($C25="Portfolio",1,IF(AND($B25="Project",$C25&lt;&gt;"",$C25&lt;&gt;"Outside the portfolio"),IFERROR(IF(AND(INDEX($B$6:$B$305,MATCH($C25,$A$6:$A$305,0))="Program",INDEX($C$6:$C$305,MATCH($C25,$A$6:$A$305,0))="Portfolio"),1,0),0),0)))</f>
        <v/>
      </c>
      <c r="AA25" s="28">
        <f>IF(AND($A25&lt;&gt;"",$E25="",OR($Q25=1,$D25="Proposed")),1,0)</f>
        <v/>
      </c>
      <c r="AB25" s="28">
        <f>IF(AND($A25&lt;&gt;"",$B25="Program",$F25="",$Q25=1),1,0)</f>
        <v/>
      </c>
      <c r="AC25" s="28">
        <f>IF(OR($A25="",$D25="Completed",$D25="Terminated"),0,IF($C25="",1,IF($C25="Portfolio",0,IF($C25="Outside the portfolio",IF($Q25=1,2,0),IF($B25="Project",IF(IFERROR(INDEX($B$6:$B$305,MATCH($C25,$A$6:$A$305,0)),"")="Program",0,1),1)))))</f>
        <v/>
      </c>
      <c r="AD25" s="28">
        <f>IF(AND($A25&lt;&gt;"",OR($M25="■ Red",$M25="◧ Amber"),$L25=""),1,0)</f>
        <v/>
      </c>
      <c r="AE25" s="28">
        <f>$AA25+$AB25+IF($AC25&gt;0,1,0)+$AD25+$AG25+$AH25</f>
        <v/>
      </c>
      <c r="AF25" s="25" t="n"/>
      <c r="AG25" s="28">
        <f>IF(AND($A25&lt;&gt;"",$K25&lt;&gt;"",$C25&lt;&gt;"Portfolio",$D25&lt;&gt;"Completed",$D25&lt;&gt;"Terminated"),1,0)</f>
        <v/>
      </c>
      <c r="AH25" s="28">
        <f>IF(AND($A25&lt;&gt;"",COUNTIF($A$6:$A$305,$A25)&gt;1),1,0)</f>
        <v/>
      </c>
      <c r="AI25" s="28">
        <f>IF(AND($A25&lt;&gt;"",$C25="Portfolio"),COUNTIFS($C$6:$C25,"Portfolio",$A$6:$A25,"&lt;&gt;"),"")</f>
        <v/>
      </c>
    </row>
    <row r="26">
      <c r="A26" s="25" t="n"/>
      <c r="B26" s="25" t="n"/>
      <c r="C26" s="25" t="n"/>
      <c r="D26" s="25" t="n"/>
      <c r="E26" s="25" t="n"/>
      <c r="F26" s="25" t="n"/>
      <c r="G26" s="25" t="n"/>
      <c r="H26" s="26" t="n"/>
      <c r="I26" s="26" t="n"/>
      <c r="J26" s="27" t="n"/>
      <c r="K26" s="27" t="n"/>
      <c r="L26" s="23" t="n"/>
      <c r="M26" s="28">
        <f>IF($A26="","",IF($D26="","Not read",IF($Q26=0,"Not counted",IF(MAX($X26,$Y26)=3,"■ Red",IF(MAX($X26,$Y26)=2,"◧ Amber",IF(MAX($X26,$Y26)=1,"□ On track","Not read"))))))</f>
        <v/>
      </c>
      <c r="N26" s="28">
        <f>IF(OR($A26="",$B26&lt;&gt;"Program"),"","■ "&amp;COUNTIFS($C$6:$C$305,$A26,$M$6:$M$305,"■ Red")&amp;" Red, ◧ "&amp;COUNTIFS($C$6:$C$305,$A26,$M$6:$M$305,"◧ Amber")&amp;" Amber")</f>
        <v/>
      </c>
      <c r="O26" s="29">
        <f>IF(OR($A26="",$E26=""),"",COUNTIFS($E$6:$E$305,$E26,$D$6:$D$305,"Active")+COUNTIFS($E$6:$E$305,$E26,$D$6:$D$305,"Paused"))</f>
        <v/>
      </c>
      <c r="P26" s="28">
        <f>IF($A26="","",IF($AE26=0,"○ Clear",IF($AA26=1,"△ No owner",IF($AC26=1,"△ Check Sits under",IF($AC26=2,"△ Outside the portfolio",IF($AB26=1,"△ No sponsor",IF($AH26=1,"△ Name used twice",IF($AG26=1,"△ Budget only counts under Portfolio","△ No variance note"))))))&amp;IF($AE26&gt;1," (+"&amp;($AE26-1)&amp;" more)","")))</f>
        <v/>
      </c>
      <c r="Q26" s="28">
        <f>IF(AND($A26&lt;&gt;"",OR($D26="Active",$D26="Paused")),1,0)</f>
        <v/>
      </c>
      <c r="R26" s="28">
        <f>IFERROR(INDEX($A$6:$A$305,MATCH(19,$S$6:$S$305,0)),"")</f>
        <v/>
      </c>
      <c r="S26" s="28">
        <f>IF(AND($A26&lt;&gt;"",$B26="Program"),COUNTIFS($B$6:$B26,"Program",$A$6:$A26,"&lt;&gt;"),"")</f>
        <v/>
      </c>
      <c r="T26" s="30">
        <f>IF(AND($A26&lt;&gt;"",$B26="Program"),SUMPRODUCT(MAX(($C$6:$C$305=$A26)*($B$6:$B$305="Project")*($D$6:$D$305&lt;&gt;"Proposed")*$I$6:$I$305)),0)</f>
        <v/>
      </c>
      <c r="U26" s="30">
        <f>IF($I26&lt;&gt;"",$I26,IF($T26&gt;0,$T26,""))</f>
        <v/>
      </c>
      <c r="V26" s="28">
        <f>IF(AND($A26&lt;&gt;"",$B26="Program"),SUMIFS($J$6:$J$305,$C$6:$C$305,$A26,$B$6:$B$305,"Project",$D$6:$D$305,"&lt;&gt;Proposed"),0)</f>
        <v/>
      </c>
      <c r="W26" s="28">
        <f>IF(AND($A26&lt;&gt;"",$B26="Program"),COUNTIFS($C$6:$C$305,$A26,$B$6:$B$305,"Project",$D$6:$D$305,"&lt;&gt;Proposed")-COUNTIFS($C$6:$C$305,$A26,$B$6:$B$305,"Project",$D$6:$D$305,"&lt;&gt;Proposed",$J$6:$J$305,"&gt;=0"),0)</f>
        <v/>
      </c>
      <c r="X26" s="28">
        <f>IF(OR($Q26=0,$H26="",$AF26="Sprint"),0,IF(AND($B26="Project",$H26&lt;TODAY()),3,IF($U26="",0,IF($U26&lt;=$H26,1,IF(NETWORKDAYS($H26,$U26)-1&gt;IF($B26="Program",Checks!$B$7,Checks!$B$6),3,2)))))</f>
        <v/>
      </c>
      <c r="Y26" s="28">
        <f>IF(OR($Q26=0,$K26="",$K26=0,$AF26="Sprint"),0,IF(AND($B26="Project",$J26=""),0,IF(IF($B26="Program",$V26,$J26)&gt;$K26*(1+Checks!$B$8),3,IF(IF($B26="Program",$V26,$J26)&gt;$K26,2,IF(AND($B26="Program",OR($W26&gt;0,$V26=0)),0,1)))))</f>
        <v/>
      </c>
      <c r="Z26" s="28">
        <f>IF($A26="",0,IF($C26="Portfolio",1,IF(AND($B26="Project",$C26&lt;&gt;"",$C26&lt;&gt;"Outside the portfolio"),IFERROR(IF(AND(INDEX($B$6:$B$305,MATCH($C26,$A$6:$A$305,0))="Program",INDEX($C$6:$C$305,MATCH($C26,$A$6:$A$305,0))="Portfolio"),1,0),0),0)))</f>
        <v/>
      </c>
      <c r="AA26" s="28">
        <f>IF(AND($A26&lt;&gt;"",$E26="",OR($Q26=1,$D26="Proposed")),1,0)</f>
        <v/>
      </c>
      <c r="AB26" s="28">
        <f>IF(AND($A26&lt;&gt;"",$B26="Program",$F26="",$Q26=1),1,0)</f>
        <v/>
      </c>
      <c r="AC26" s="28">
        <f>IF(OR($A26="",$D26="Completed",$D26="Terminated"),0,IF($C26="",1,IF($C26="Portfolio",0,IF($C26="Outside the portfolio",IF($Q26=1,2,0),IF($B26="Project",IF(IFERROR(INDEX($B$6:$B$305,MATCH($C26,$A$6:$A$305,0)),"")="Program",0,1),1)))))</f>
        <v/>
      </c>
      <c r="AD26" s="28">
        <f>IF(AND($A26&lt;&gt;"",OR($M26="■ Red",$M26="◧ Amber"),$L26=""),1,0)</f>
        <v/>
      </c>
      <c r="AE26" s="28">
        <f>$AA26+$AB26+IF($AC26&gt;0,1,0)+$AD26+$AG26+$AH26</f>
        <v/>
      </c>
      <c r="AF26" s="25" t="n"/>
      <c r="AG26" s="28">
        <f>IF(AND($A26&lt;&gt;"",$K26&lt;&gt;"",$C26&lt;&gt;"Portfolio",$D26&lt;&gt;"Completed",$D26&lt;&gt;"Terminated"),1,0)</f>
        <v/>
      </c>
      <c r="AH26" s="28">
        <f>IF(AND($A26&lt;&gt;"",COUNTIF($A$6:$A$305,$A26)&gt;1),1,0)</f>
        <v/>
      </c>
      <c r="AI26" s="28">
        <f>IF(AND($A26&lt;&gt;"",$C26="Portfolio"),COUNTIFS($C$6:$C26,"Portfolio",$A$6:$A26,"&lt;&gt;"),"")</f>
        <v/>
      </c>
    </row>
    <row r="27">
      <c r="A27" s="25" t="n"/>
      <c r="B27" s="25" t="n"/>
      <c r="C27" s="25" t="n"/>
      <c r="D27" s="25" t="n"/>
      <c r="E27" s="25" t="n"/>
      <c r="F27" s="25" t="n"/>
      <c r="G27" s="25" t="n"/>
      <c r="H27" s="26" t="n"/>
      <c r="I27" s="26" t="n"/>
      <c r="J27" s="27" t="n"/>
      <c r="K27" s="27" t="n"/>
      <c r="L27" s="23" t="n"/>
      <c r="M27" s="28">
        <f>IF($A27="","",IF($D27="","Not read",IF($Q27=0,"Not counted",IF(MAX($X27,$Y27)=3,"■ Red",IF(MAX($X27,$Y27)=2,"◧ Amber",IF(MAX($X27,$Y27)=1,"□ On track","Not read"))))))</f>
        <v/>
      </c>
      <c r="N27" s="28">
        <f>IF(OR($A27="",$B27&lt;&gt;"Program"),"","■ "&amp;COUNTIFS($C$6:$C$305,$A27,$M$6:$M$305,"■ Red")&amp;" Red, ◧ "&amp;COUNTIFS($C$6:$C$305,$A27,$M$6:$M$305,"◧ Amber")&amp;" Amber")</f>
        <v/>
      </c>
      <c r="O27" s="29">
        <f>IF(OR($A27="",$E27=""),"",COUNTIFS($E$6:$E$305,$E27,$D$6:$D$305,"Active")+COUNTIFS($E$6:$E$305,$E27,$D$6:$D$305,"Paused"))</f>
        <v/>
      </c>
      <c r="P27" s="28">
        <f>IF($A27="","",IF($AE27=0,"○ Clear",IF($AA27=1,"△ No owner",IF($AC27=1,"△ Check Sits under",IF($AC27=2,"△ Outside the portfolio",IF($AB27=1,"△ No sponsor",IF($AH27=1,"△ Name used twice",IF($AG27=1,"△ Budget only counts under Portfolio","△ No variance note"))))))&amp;IF($AE27&gt;1," (+"&amp;($AE27-1)&amp;" more)","")))</f>
        <v/>
      </c>
      <c r="Q27" s="28">
        <f>IF(AND($A27&lt;&gt;"",OR($D27="Active",$D27="Paused")),1,0)</f>
        <v/>
      </c>
      <c r="R27" s="28">
        <f>IFERROR(INDEX($A$6:$A$305,MATCH(20,$S$6:$S$305,0)),"")</f>
        <v/>
      </c>
      <c r="S27" s="28">
        <f>IF(AND($A27&lt;&gt;"",$B27="Program"),COUNTIFS($B$6:$B27,"Program",$A$6:$A27,"&lt;&gt;"),"")</f>
        <v/>
      </c>
      <c r="T27" s="30">
        <f>IF(AND($A27&lt;&gt;"",$B27="Program"),SUMPRODUCT(MAX(($C$6:$C$305=$A27)*($B$6:$B$305="Project")*($D$6:$D$305&lt;&gt;"Proposed")*$I$6:$I$305)),0)</f>
        <v/>
      </c>
      <c r="U27" s="30">
        <f>IF($I27&lt;&gt;"",$I27,IF($T27&gt;0,$T27,""))</f>
        <v/>
      </c>
      <c r="V27" s="28">
        <f>IF(AND($A27&lt;&gt;"",$B27="Program"),SUMIFS($J$6:$J$305,$C$6:$C$305,$A27,$B$6:$B$305,"Project",$D$6:$D$305,"&lt;&gt;Proposed"),0)</f>
        <v/>
      </c>
      <c r="W27" s="28">
        <f>IF(AND($A27&lt;&gt;"",$B27="Program"),COUNTIFS($C$6:$C$305,$A27,$B$6:$B$305,"Project",$D$6:$D$305,"&lt;&gt;Proposed")-COUNTIFS($C$6:$C$305,$A27,$B$6:$B$305,"Project",$D$6:$D$305,"&lt;&gt;Proposed",$J$6:$J$305,"&gt;=0"),0)</f>
        <v/>
      </c>
      <c r="X27" s="28">
        <f>IF(OR($Q27=0,$H27="",$AF27="Sprint"),0,IF(AND($B27="Project",$H27&lt;TODAY()),3,IF($U27="",0,IF($U27&lt;=$H27,1,IF(NETWORKDAYS($H27,$U27)-1&gt;IF($B27="Program",Checks!$B$7,Checks!$B$6),3,2)))))</f>
        <v/>
      </c>
      <c r="Y27" s="28">
        <f>IF(OR($Q27=0,$K27="",$K27=0,$AF27="Sprint"),0,IF(AND($B27="Project",$J27=""),0,IF(IF($B27="Program",$V27,$J27)&gt;$K27*(1+Checks!$B$8),3,IF(IF($B27="Program",$V27,$J27)&gt;$K27,2,IF(AND($B27="Program",OR($W27&gt;0,$V27=0)),0,1)))))</f>
        <v/>
      </c>
      <c r="Z27" s="28">
        <f>IF($A27="",0,IF($C27="Portfolio",1,IF(AND($B27="Project",$C27&lt;&gt;"",$C27&lt;&gt;"Outside the portfolio"),IFERROR(IF(AND(INDEX($B$6:$B$305,MATCH($C27,$A$6:$A$305,0))="Program",INDEX($C$6:$C$305,MATCH($C27,$A$6:$A$305,0))="Portfolio"),1,0),0),0)))</f>
        <v/>
      </c>
      <c r="AA27" s="28">
        <f>IF(AND($A27&lt;&gt;"",$E27="",OR($Q27=1,$D27="Proposed")),1,0)</f>
        <v/>
      </c>
      <c r="AB27" s="28">
        <f>IF(AND($A27&lt;&gt;"",$B27="Program",$F27="",$Q27=1),1,0)</f>
        <v/>
      </c>
      <c r="AC27" s="28">
        <f>IF(OR($A27="",$D27="Completed",$D27="Terminated"),0,IF($C27="",1,IF($C27="Portfolio",0,IF($C27="Outside the portfolio",IF($Q27=1,2,0),IF($B27="Project",IF(IFERROR(INDEX($B$6:$B$305,MATCH($C27,$A$6:$A$305,0)),"")="Program",0,1),1)))))</f>
        <v/>
      </c>
      <c r="AD27" s="28">
        <f>IF(AND($A27&lt;&gt;"",OR($M27="■ Red",$M27="◧ Amber"),$L27=""),1,0)</f>
        <v/>
      </c>
      <c r="AE27" s="28">
        <f>$AA27+$AB27+IF($AC27&gt;0,1,0)+$AD27+$AG27+$AH27</f>
        <v/>
      </c>
      <c r="AF27" s="25" t="n"/>
      <c r="AG27" s="28">
        <f>IF(AND($A27&lt;&gt;"",$K27&lt;&gt;"",$C27&lt;&gt;"Portfolio",$D27&lt;&gt;"Completed",$D27&lt;&gt;"Terminated"),1,0)</f>
        <v/>
      </c>
      <c r="AH27" s="28">
        <f>IF(AND($A27&lt;&gt;"",COUNTIF($A$6:$A$305,$A27)&gt;1),1,0)</f>
        <v/>
      </c>
      <c r="AI27" s="28">
        <f>IF(AND($A27&lt;&gt;"",$C27="Portfolio"),COUNTIFS($C$6:$C27,"Portfolio",$A$6:$A27,"&lt;&gt;"),"")</f>
        <v/>
      </c>
    </row>
    <row r="28">
      <c r="A28" s="25" t="n"/>
      <c r="B28" s="25" t="n"/>
      <c r="C28" s="25" t="n"/>
      <c r="D28" s="25" t="n"/>
      <c r="E28" s="25" t="n"/>
      <c r="F28" s="25" t="n"/>
      <c r="G28" s="25" t="n"/>
      <c r="H28" s="26" t="n"/>
      <c r="I28" s="26" t="n"/>
      <c r="J28" s="27" t="n"/>
      <c r="K28" s="27" t="n"/>
      <c r="L28" s="23" t="n"/>
      <c r="M28" s="28">
        <f>IF($A28="","",IF($D28="","Not read",IF($Q28=0,"Not counted",IF(MAX($X28,$Y28)=3,"■ Red",IF(MAX($X28,$Y28)=2,"◧ Amber",IF(MAX($X28,$Y28)=1,"□ On track","Not read"))))))</f>
        <v/>
      </c>
      <c r="N28" s="28">
        <f>IF(OR($A28="",$B28&lt;&gt;"Program"),"","■ "&amp;COUNTIFS($C$6:$C$305,$A28,$M$6:$M$305,"■ Red")&amp;" Red, ◧ "&amp;COUNTIFS($C$6:$C$305,$A28,$M$6:$M$305,"◧ Amber")&amp;" Amber")</f>
        <v/>
      </c>
      <c r="O28" s="29">
        <f>IF(OR($A28="",$E28=""),"",COUNTIFS($E$6:$E$305,$E28,$D$6:$D$305,"Active")+COUNTIFS($E$6:$E$305,$E28,$D$6:$D$305,"Paused"))</f>
        <v/>
      </c>
      <c r="P28" s="28">
        <f>IF($A28="","",IF($AE28=0,"○ Clear",IF($AA28=1,"△ No owner",IF($AC28=1,"△ Check Sits under",IF($AC28=2,"△ Outside the portfolio",IF($AB28=1,"△ No sponsor",IF($AH28=1,"△ Name used twice",IF($AG28=1,"△ Budget only counts under Portfolio","△ No variance note"))))))&amp;IF($AE28&gt;1," (+"&amp;($AE28-1)&amp;" more)","")))</f>
        <v/>
      </c>
      <c r="Q28" s="28">
        <f>IF(AND($A28&lt;&gt;"",OR($D28="Active",$D28="Paused")),1,0)</f>
        <v/>
      </c>
      <c r="R28" s="28">
        <f>IFERROR(INDEX($A$6:$A$305,MATCH(21,$S$6:$S$305,0)),"")</f>
        <v/>
      </c>
      <c r="S28" s="28">
        <f>IF(AND($A28&lt;&gt;"",$B28="Program"),COUNTIFS($B$6:$B28,"Program",$A$6:$A28,"&lt;&gt;"),"")</f>
        <v/>
      </c>
      <c r="T28" s="30">
        <f>IF(AND($A28&lt;&gt;"",$B28="Program"),SUMPRODUCT(MAX(($C$6:$C$305=$A28)*($B$6:$B$305="Project")*($D$6:$D$305&lt;&gt;"Proposed")*$I$6:$I$305)),0)</f>
        <v/>
      </c>
      <c r="U28" s="30">
        <f>IF($I28&lt;&gt;"",$I28,IF($T28&gt;0,$T28,""))</f>
        <v/>
      </c>
      <c r="V28" s="28">
        <f>IF(AND($A28&lt;&gt;"",$B28="Program"),SUMIFS($J$6:$J$305,$C$6:$C$305,$A28,$B$6:$B$305,"Project",$D$6:$D$305,"&lt;&gt;Proposed"),0)</f>
        <v/>
      </c>
      <c r="W28" s="28">
        <f>IF(AND($A28&lt;&gt;"",$B28="Program"),COUNTIFS($C$6:$C$305,$A28,$B$6:$B$305,"Project",$D$6:$D$305,"&lt;&gt;Proposed")-COUNTIFS($C$6:$C$305,$A28,$B$6:$B$305,"Project",$D$6:$D$305,"&lt;&gt;Proposed",$J$6:$J$305,"&gt;=0"),0)</f>
        <v/>
      </c>
      <c r="X28" s="28">
        <f>IF(OR($Q28=0,$H28="",$AF28="Sprint"),0,IF(AND($B28="Project",$H28&lt;TODAY()),3,IF($U28="",0,IF($U28&lt;=$H28,1,IF(NETWORKDAYS($H28,$U28)-1&gt;IF($B28="Program",Checks!$B$7,Checks!$B$6),3,2)))))</f>
        <v/>
      </c>
      <c r="Y28" s="28">
        <f>IF(OR($Q28=0,$K28="",$K28=0,$AF28="Sprint"),0,IF(AND($B28="Project",$J28=""),0,IF(IF($B28="Program",$V28,$J28)&gt;$K28*(1+Checks!$B$8),3,IF(IF($B28="Program",$V28,$J28)&gt;$K28,2,IF(AND($B28="Program",OR($W28&gt;0,$V28=0)),0,1)))))</f>
        <v/>
      </c>
      <c r="Z28" s="28">
        <f>IF($A28="",0,IF($C28="Portfolio",1,IF(AND($B28="Project",$C28&lt;&gt;"",$C28&lt;&gt;"Outside the portfolio"),IFERROR(IF(AND(INDEX($B$6:$B$305,MATCH($C28,$A$6:$A$305,0))="Program",INDEX($C$6:$C$305,MATCH($C28,$A$6:$A$305,0))="Portfolio"),1,0),0),0)))</f>
        <v/>
      </c>
      <c r="AA28" s="28">
        <f>IF(AND($A28&lt;&gt;"",$E28="",OR($Q28=1,$D28="Proposed")),1,0)</f>
        <v/>
      </c>
      <c r="AB28" s="28">
        <f>IF(AND($A28&lt;&gt;"",$B28="Program",$F28="",$Q28=1),1,0)</f>
        <v/>
      </c>
      <c r="AC28" s="28">
        <f>IF(OR($A28="",$D28="Completed",$D28="Terminated"),0,IF($C28="",1,IF($C28="Portfolio",0,IF($C28="Outside the portfolio",IF($Q28=1,2,0),IF($B28="Project",IF(IFERROR(INDEX($B$6:$B$305,MATCH($C28,$A$6:$A$305,0)),"")="Program",0,1),1)))))</f>
        <v/>
      </c>
      <c r="AD28" s="28">
        <f>IF(AND($A28&lt;&gt;"",OR($M28="■ Red",$M28="◧ Amber"),$L28=""),1,0)</f>
        <v/>
      </c>
      <c r="AE28" s="28">
        <f>$AA28+$AB28+IF($AC28&gt;0,1,0)+$AD28+$AG28+$AH28</f>
        <v/>
      </c>
      <c r="AF28" s="25" t="n"/>
      <c r="AG28" s="28">
        <f>IF(AND($A28&lt;&gt;"",$K28&lt;&gt;"",$C28&lt;&gt;"Portfolio",$D28&lt;&gt;"Completed",$D28&lt;&gt;"Terminated"),1,0)</f>
        <v/>
      </c>
      <c r="AH28" s="28">
        <f>IF(AND($A28&lt;&gt;"",COUNTIF($A$6:$A$305,$A28)&gt;1),1,0)</f>
        <v/>
      </c>
      <c r="AI28" s="28">
        <f>IF(AND($A28&lt;&gt;"",$C28="Portfolio"),COUNTIFS($C$6:$C28,"Portfolio",$A$6:$A28,"&lt;&gt;"),"")</f>
        <v/>
      </c>
    </row>
    <row r="29">
      <c r="A29" s="25" t="n"/>
      <c r="B29" s="25" t="n"/>
      <c r="C29" s="25" t="n"/>
      <c r="D29" s="25" t="n"/>
      <c r="E29" s="25" t="n"/>
      <c r="F29" s="25" t="n"/>
      <c r="G29" s="25" t="n"/>
      <c r="H29" s="26" t="n"/>
      <c r="I29" s="26" t="n"/>
      <c r="J29" s="27" t="n"/>
      <c r="K29" s="27" t="n"/>
      <c r="L29" s="23" t="n"/>
      <c r="M29" s="28">
        <f>IF($A29="","",IF($D29="","Not read",IF($Q29=0,"Not counted",IF(MAX($X29,$Y29)=3,"■ Red",IF(MAX($X29,$Y29)=2,"◧ Amber",IF(MAX($X29,$Y29)=1,"□ On track","Not read"))))))</f>
        <v/>
      </c>
      <c r="N29" s="28">
        <f>IF(OR($A29="",$B29&lt;&gt;"Program"),"","■ "&amp;COUNTIFS($C$6:$C$305,$A29,$M$6:$M$305,"■ Red")&amp;" Red, ◧ "&amp;COUNTIFS($C$6:$C$305,$A29,$M$6:$M$305,"◧ Amber")&amp;" Amber")</f>
        <v/>
      </c>
      <c r="O29" s="29">
        <f>IF(OR($A29="",$E29=""),"",COUNTIFS($E$6:$E$305,$E29,$D$6:$D$305,"Active")+COUNTIFS($E$6:$E$305,$E29,$D$6:$D$305,"Paused"))</f>
        <v/>
      </c>
      <c r="P29" s="28">
        <f>IF($A29="","",IF($AE29=0,"○ Clear",IF($AA29=1,"△ No owner",IF($AC29=1,"△ Check Sits under",IF($AC29=2,"△ Outside the portfolio",IF($AB29=1,"△ No sponsor",IF($AH29=1,"△ Name used twice",IF($AG29=1,"△ Budget only counts under Portfolio","△ No variance note"))))))&amp;IF($AE29&gt;1," (+"&amp;($AE29-1)&amp;" more)","")))</f>
        <v/>
      </c>
      <c r="Q29" s="28">
        <f>IF(AND($A29&lt;&gt;"",OR($D29="Active",$D29="Paused")),1,0)</f>
        <v/>
      </c>
      <c r="R29" s="28">
        <f>IFERROR(INDEX($A$6:$A$305,MATCH(22,$S$6:$S$305,0)),"")</f>
        <v/>
      </c>
      <c r="S29" s="28">
        <f>IF(AND($A29&lt;&gt;"",$B29="Program"),COUNTIFS($B$6:$B29,"Program",$A$6:$A29,"&lt;&gt;"),"")</f>
        <v/>
      </c>
      <c r="T29" s="30">
        <f>IF(AND($A29&lt;&gt;"",$B29="Program"),SUMPRODUCT(MAX(($C$6:$C$305=$A29)*($B$6:$B$305="Project")*($D$6:$D$305&lt;&gt;"Proposed")*$I$6:$I$305)),0)</f>
        <v/>
      </c>
      <c r="U29" s="30">
        <f>IF($I29&lt;&gt;"",$I29,IF($T29&gt;0,$T29,""))</f>
        <v/>
      </c>
      <c r="V29" s="28">
        <f>IF(AND($A29&lt;&gt;"",$B29="Program"),SUMIFS($J$6:$J$305,$C$6:$C$305,$A29,$B$6:$B$305,"Project",$D$6:$D$305,"&lt;&gt;Proposed"),0)</f>
        <v/>
      </c>
      <c r="W29" s="28">
        <f>IF(AND($A29&lt;&gt;"",$B29="Program"),COUNTIFS($C$6:$C$305,$A29,$B$6:$B$305,"Project",$D$6:$D$305,"&lt;&gt;Proposed")-COUNTIFS($C$6:$C$305,$A29,$B$6:$B$305,"Project",$D$6:$D$305,"&lt;&gt;Proposed",$J$6:$J$305,"&gt;=0"),0)</f>
        <v/>
      </c>
      <c r="X29" s="28">
        <f>IF(OR($Q29=0,$H29="",$AF29="Sprint"),0,IF(AND($B29="Project",$H29&lt;TODAY()),3,IF($U29="",0,IF($U29&lt;=$H29,1,IF(NETWORKDAYS($H29,$U29)-1&gt;IF($B29="Program",Checks!$B$7,Checks!$B$6),3,2)))))</f>
        <v/>
      </c>
      <c r="Y29" s="28">
        <f>IF(OR($Q29=0,$K29="",$K29=0,$AF29="Sprint"),0,IF(AND($B29="Project",$J29=""),0,IF(IF($B29="Program",$V29,$J29)&gt;$K29*(1+Checks!$B$8),3,IF(IF($B29="Program",$V29,$J29)&gt;$K29,2,IF(AND($B29="Program",OR($W29&gt;0,$V29=0)),0,1)))))</f>
        <v/>
      </c>
      <c r="Z29" s="28">
        <f>IF($A29="",0,IF($C29="Portfolio",1,IF(AND($B29="Project",$C29&lt;&gt;"",$C29&lt;&gt;"Outside the portfolio"),IFERROR(IF(AND(INDEX($B$6:$B$305,MATCH($C29,$A$6:$A$305,0))="Program",INDEX($C$6:$C$305,MATCH($C29,$A$6:$A$305,0))="Portfolio"),1,0),0),0)))</f>
        <v/>
      </c>
      <c r="AA29" s="28">
        <f>IF(AND($A29&lt;&gt;"",$E29="",OR($Q29=1,$D29="Proposed")),1,0)</f>
        <v/>
      </c>
      <c r="AB29" s="28">
        <f>IF(AND($A29&lt;&gt;"",$B29="Program",$F29="",$Q29=1),1,0)</f>
        <v/>
      </c>
      <c r="AC29" s="28">
        <f>IF(OR($A29="",$D29="Completed",$D29="Terminated"),0,IF($C29="",1,IF($C29="Portfolio",0,IF($C29="Outside the portfolio",IF($Q29=1,2,0),IF($B29="Project",IF(IFERROR(INDEX($B$6:$B$305,MATCH($C29,$A$6:$A$305,0)),"")="Program",0,1),1)))))</f>
        <v/>
      </c>
      <c r="AD29" s="28">
        <f>IF(AND($A29&lt;&gt;"",OR($M29="■ Red",$M29="◧ Amber"),$L29=""),1,0)</f>
        <v/>
      </c>
      <c r="AE29" s="28">
        <f>$AA29+$AB29+IF($AC29&gt;0,1,0)+$AD29+$AG29+$AH29</f>
        <v/>
      </c>
      <c r="AF29" s="25" t="n"/>
      <c r="AG29" s="28">
        <f>IF(AND($A29&lt;&gt;"",$K29&lt;&gt;"",$C29&lt;&gt;"Portfolio",$D29&lt;&gt;"Completed",$D29&lt;&gt;"Terminated"),1,0)</f>
        <v/>
      </c>
      <c r="AH29" s="28">
        <f>IF(AND($A29&lt;&gt;"",COUNTIF($A$6:$A$305,$A29)&gt;1),1,0)</f>
        <v/>
      </c>
      <c r="AI29" s="28">
        <f>IF(AND($A29&lt;&gt;"",$C29="Portfolio"),COUNTIFS($C$6:$C29,"Portfolio",$A$6:$A29,"&lt;&gt;"),"")</f>
        <v/>
      </c>
    </row>
    <row r="30">
      <c r="A30" s="25" t="n"/>
      <c r="B30" s="25" t="n"/>
      <c r="C30" s="25" t="n"/>
      <c r="D30" s="25" t="n"/>
      <c r="E30" s="25" t="n"/>
      <c r="F30" s="25" t="n"/>
      <c r="G30" s="25" t="n"/>
      <c r="H30" s="26" t="n"/>
      <c r="I30" s="26" t="n"/>
      <c r="J30" s="27" t="n"/>
      <c r="K30" s="27" t="n"/>
      <c r="L30" s="23" t="n"/>
      <c r="M30" s="28">
        <f>IF($A30="","",IF($D30="","Not read",IF($Q30=0,"Not counted",IF(MAX($X30,$Y30)=3,"■ Red",IF(MAX($X30,$Y30)=2,"◧ Amber",IF(MAX($X30,$Y30)=1,"□ On track","Not read"))))))</f>
        <v/>
      </c>
      <c r="N30" s="28">
        <f>IF(OR($A30="",$B30&lt;&gt;"Program"),"","■ "&amp;COUNTIFS($C$6:$C$305,$A30,$M$6:$M$305,"■ Red")&amp;" Red, ◧ "&amp;COUNTIFS($C$6:$C$305,$A30,$M$6:$M$305,"◧ Amber")&amp;" Amber")</f>
        <v/>
      </c>
      <c r="O30" s="29">
        <f>IF(OR($A30="",$E30=""),"",COUNTIFS($E$6:$E$305,$E30,$D$6:$D$305,"Active")+COUNTIFS($E$6:$E$305,$E30,$D$6:$D$305,"Paused"))</f>
        <v/>
      </c>
      <c r="P30" s="28">
        <f>IF($A30="","",IF($AE30=0,"○ Clear",IF($AA30=1,"△ No owner",IF($AC30=1,"△ Check Sits under",IF($AC30=2,"△ Outside the portfolio",IF($AB30=1,"△ No sponsor",IF($AH30=1,"△ Name used twice",IF($AG30=1,"△ Budget only counts under Portfolio","△ No variance note"))))))&amp;IF($AE30&gt;1," (+"&amp;($AE30-1)&amp;" more)","")))</f>
        <v/>
      </c>
      <c r="Q30" s="28">
        <f>IF(AND($A30&lt;&gt;"",OR($D30="Active",$D30="Paused")),1,0)</f>
        <v/>
      </c>
      <c r="R30" s="28">
        <f>IFERROR(INDEX($A$6:$A$305,MATCH(23,$S$6:$S$305,0)),"")</f>
        <v/>
      </c>
      <c r="S30" s="28">
        <f>IF(AND($A30&lt;&gt;"",$B30="Program"),COUNTIFS($B$6:$B30,"Program",$A$6:$A30,"&lt;&gt;"),"")</f>
        <v/>
      </c>
      <c r="T30" s="30">
        <f>IF(AND($A30&lt;&gt;"",$B30="Program"),SUMPRODUCT(MAX(($C$6:$C$305=$A30)*($B$6:$B$305="Project")*($D$6:$D$305&lt;&gt;"Proposed")*$I$6:$I$305)),0)</f>
        <v/>
      </c>
      <c r="U30" s="30">
        <f>IF($I30&lt;&gt;"",$I30,IF($T30&gt;0,$T30,""))</f>
        <v/>
      </c>
      <c r="V30" s="28">
        <f>IF(AND($A30&lt;&gt;"",$B30="Program"),SUMIFS($J$6:$J$305,$C$6:$C$305,$A30,$B$6:$B$305,"Project",$D$6:$D$305,"&lt;&gt;Proposed"),0)</f>
        <v/>
      </c>
      <c r="W30" s="28">
        <f>IF(AND($A30&lt;&gt;"",$B30="Program"),COUNTIFS($C$6:$C$305,$A30,$B$6:$B$305,"Project",$D$6:$D$305,"&lt;&gt;Proposed")-COUNTIFS($C$6:$C$305,$A30,$B$6:$B$305,"Project",$D$6:$D$305,"&lt;&gt;Proposed",$J$6:$J$305,"&gt;=0"),0)</f>
        <v/>
      </c>
      <c r="X30" s="28">
        <f>IF(OR($Q30=0,$H30="",$AF30="Sprint"),0,IF(AND($B30="Project",$H30&lt;TODAY()),3,IF($U30="",0,IF($U30&lt;=$H30,1,IF(NETWORKDAYS($H30,$U30)-1&gt;IF($B30="Program",Checks!$B$7,Checks!$B$6),3,2)))))</f>
        <v/>
      </c>
      <c r="Y30" s="28">
        <f>IF(OR($Q30=0,$K30="",$K30=0,$AF30="Sprint"),0,IF(AND($B30="Project",$J30=""),0,IF(IF($B30="Program",$V30,$J30)&gt;$K30*(1+Checks!$B$8),3,IF(IF($B30="Program",$V30,$J30)&gt;$K30,2,IF(AND($B30="Program",OR($W30&gt;0,$V30=0)),0,1)))))</f>
        <v/>
      </c>
      <c r="Z30" s="28">
        <f>IF($A30="",0,IF($C30="Portfolio",1,IF(AND($B30="Project",$C30&lt;&gt;"",$C30&lt;&gt;"Outside the portfolio"),IFERROR(IF(AND(INDEX($B$6:$B$305,MATCH($C30,$A$6:$A$305,0))="Program",INDEX($C$6:$C$305,MATCH($C30,$A$6:$A$305,0))="Portfolio"),1,0),0),0)))</f>
        <v/>
      </c>
      <c r="AA30" s="28">
        <f>IF(AND($A30&lt;&gt;"",$E30="",OR($Q30=1,$D30="Proposed")),1,0)</f>
        <v/>
      </c>
      <c r="AB30" s="28">
        <f>IF(AND($A30&lt;&gt;"",$B30="Program",$F30="",$Q30=1),1,0)</f>
        <v/>
      </c>
      <c r="AC30" s="28">
        <f>IF(OR($A30="",$D30="Completed",$D30="Terminated"),0,IF($C30="",1,IF($C30="Portfolio",0,IF($C30="Outside the portfolio",IF($Q30=1,2,0),IF($B30="Project",IF(IFERROR(INDEX($B$6:$B$305,MATCH($C30,$A$6:$A$305,0)),"")="Program",0,1),1)))))</f>
        <v/>
      </c>
      <c r="AD30" s="28">
        <f>IF(AND($A30&lt;&gt;"",OR($M30="■ Red",$M30="◧ Amber"),$L30=""),1,0)</f>
        <v/>
      </c>
      <c r="AE30" s="28">
        <f>$AA30+$AB30+IF($AC30&gt;0,1,0)+$AD30+$AG30+$AH30</f>
        <v/>
      </c>
      <c r="AF30" s="25" t="n"/>
      <c r="AG30" s="28">
        <f>IF(AND($A30&lt;&gt;"",$K30&lt;&gt;"",$C30&lt;&gt;"Portfolio",$D30&lt;&gt;"Completed",$D30&lt;&gt;"Terminated"),1,0)</f>
        <v/>
      </c>
      <c r="AH30" s="28">
        <f>IF(AND($A30&lt;&gt;"",COUNTIF($A$6:$A$305,$A30)&gt;1),1,0)</f>
        <v/>
      </c>
      <c r="AI30" s="28">
        <f>IF(AND($A30&lt;&gt;"",$C30="Portfolio"),COUNTIFS($C$6:$C30,"Portfolio",$A$6:$A30,"&lt;&gt;"),"")</f>
        <v/>
      </c>
    </row>
    <row r="31">
      <c r="A31" s="25" t="n"/>
      <c r="B31" s="25" t="n"/>
      <c r="C31" s="25" t="n"/>
      <c r="D31" s="25" t="n"/>
      <c r="E31" s="25" t="n"/>
      <c r="F31" s="25" t="n"/>
      <c r="G31" s="25" t="n"/>
      <c r="H31" s="26" t="n"/>
      <c r="I31" s="26" t="n"/>
      <c r="J31" s="27" t="n"/>
      <c r="K31" s="27" t="n"/>
      <c r="L31" s="23" t="n"/>
      <c r="M31" s="28">
        <f>IF($A31="","",IF($D31="","Not read",IF($Q31=0,"Not counted",IF(MAX($X31,$Y31)=3,"■ Red",IF(MAX($X31,$Y31)=2,"◧ Amber",IF(MAX($X31,$Y31)=1,"□ On track","Not read"))))))</f>
        <v/>
      </c>
      <c r="N31" s="28">
        <f>IF(OR($A31="",$B31&lt;&gt;"Program"),"","■ "&amp;COUNTIFS($C$6:$C$305,$A31,$M$6:$M$305,"■ Red")&amp;" Red, ◧ "&amp;COUNTIFS($C$6:$C$305,$A31,$M$6:$M$305,"◧ Amber")&amp;" Amber")</f>
        <v/>
      </c>
      <c r="O31" s="29">
        <f>IF(OR($A31="",$E31=""),"",COUNTIFS($E$6:$E$305,$E31,$D$6:$D$305,"Active")+COUNTIFS($E$6:$E$305,$E31,$D$6:$D$305,"Paused"))</f>
        <v/>
      </c>
      <c r="P31" s="28">
        <f>IF($A31="","",IF($AE31=0,"○ Clear",IF($AA31=1,"△ No owner",IF($AC31=1,"△ Check Sits under",IF($AC31=2,"△ Outside the portfolio",IF($AB31=1,"△ No sponsor",IF($AH31=1,"△ Name used twice",IF($AG31=1,"△ Budget only counts under Portfolio","△ No variance note"))))))&amp;IF($AE31&gt;1," (+"&amp;($AE31-1)&amp;" more)","")))</f>
        <v/>
      </c>
      <c r="Q31" s="28">
        <f>IF(AND($A31&lt;&gt;"",OR($D31="Active",$D31="Paused")),1,0)</f>
        <v/>
      </c>
      <c r="R31" s="28">
        <f>IFERROR(INDEX($A$6:$A$305,MATCH(24,$S$6:$S$305,0)),"")</f>
        <v/>
      </c>
      <c r="S31" s="28">
        <f>IF(AND($A31&lt;&gt;"",$B31="Program"),COUNTIFS($B$6:$B31,"Program",$A$6:$A31,"&lt;&gt;"),"")</f>
        <v/>
      </c>
      <c r="T31" s="30">
        <f>IF(AND($A31&lt;&gt;"",$B31="Program"),SUMPRODUCT(MAX(($C$6:$C$305=$A31)*($B$6:$B$305="Project")*($D$6:$D$305&lt;&gt;"Proposed")*$I$6:$I$305)),0)</f>
        <v/>
      </c>
      <c r="U31" s="30">
        <f>IF($I31&lt;&gt;"",$I31,IF($T31&gt;0,$T31,""))</f>
        <v/>
      </c>
      <c r="V31" s="28">
        <f>IF(AND($A31&lt;&gt;"",$B31="Program"),SUMIFS($J$6:$J$305,$C$6:$C$305,$A31,$B$6:$B$305,"Project",$D$6:$D$305,"&lt;&gt;Proposed"),0)</f>
        <v/>
      </c>
      <c r="W31" s="28">
        <f>IF(AND($A31&lt;&gt;"",$B31="Program"),COUNTIFS($C$6:$C$305,$A31,$B$6:$B$305,"Project",$D$6:$D$305,"&lt;&gt;Proposed")-COUNTIFS($C$6:$C$305,$A31,$B$6:$B$305,"Project",$D$6:$D$305,"&lt;&gt;Proposed",$J$6:$J$305,"&gt;=0"),0)</f>
        <v/>
      </c>
      <c r="X31" s="28">
        <f>IF(OR($Q31=0,$H31="",$AF31="Sprint"),0,IF(AND($B31="Project",$H31&lt;TODAY()),3,IF($U31="",0,IF($U31&lt;=$H31,1,IF(NETWORKDAYS($H31,$U31)-1&gt;IF($B31="Program",Checks!$B$7,Checks!$B$6),3,2)))))</f>
        <v/>
      </c>
      <c r="Y31" s="28">
        <f>IF(OR($Q31=0,$K31="",$K31=0,$AF31="Sprint"),0,IF(AND($B31="Project",$J31=""),0,IF(IF($B31="Program",$V31,$J31)&gt;$K31*(1+Checks!$B$8),3,IF(IF($B31="Program",$V31,$J31)&gt;$K31,2,IF(AND($B31="Program",OR($W31&gt;0,$V31=0)),0,1)))))</f>
        <v/>
      </c>
      <c r="Z31" s="28">
        <f>IF($A31="",0,IF($C31="Portfolio",1,IF(AND($B31="Project",$C31&lt;&gt;"",$C31&lt;&gt;"Outside the portfolio"),IFERROR(IF(AND(INDEX($B$6:$B$305,MATCH($C31,$A$6:$A$305,0))="Program",INDEX($C$6:$C$305,MATCH($C31,$A$6:$A$305,0))="Portfolio"),1,0),0),0)))</f>
        <v/>
      </c>
      <c r="AA31" s="28">
        <f>IF(AND($A31&lt;&gt;"",$E31="",OR($Q31=1,$D31="Proposed")),1,0)</f>
        <v/>
      </c>
      <c r="AB31" s="28">
        <f>IF(AND($A31&lt;&gt;"",$B31="Program",$F31="",$Q31=1),1,0)</f>
        <v/>
      </c>
      <c r="AC31" s="28">
        <f>IF(OR($A31="",$D31="Completed",$D31="Terminated"),0,IF($C31="",1,IF($C31="Portfolio",0,IF($C31="Outside the portfolio",IF($Q31=1,2,0),IF($B31="Project",IF(IFERROR(INDEX($B$6:$B$305,MATCH($C31,$A$6:$A$305,0)),"")="Program",0,1),1)))))</f>
        <v/>
      </c>
      <c r="AD31" s="28">
        <f>IF(AND($A31&lt;&gt;"",OR($M31="■ Red",$M31="◧ Amber"),$L31=""),1,0)</f>
        <v/>
      </c>
      <c r="AE31" s="28">
        <f>$AA31+$AB31+IF($AC31&gt;0,1,0)+$AD31+$AG31+$AH31</f>
        <v/>
      </c>
      <c r="AF31" s="25" t="n"/>
      <c r="AG31" s="28">
        <f>IF(AND($A31&lt;&gt;"",$K31&lt;&gt;"",$C31&lt;&gt;"Portfolio",$D31&lt;&gt;"Completed",$D31&lt;&gt;"Terminated"),1,0)</f>
        <v/>
      </c>
      <c r="AH31" s="28">
        <f>IF(AND($A31&lt;&gt;"",COUNTIF($A$6:$A$305,$A31)&gt;1),1,0)</f>
        <v/>
      </c>
      <c r="AI31" s="28">
        <f>IF(AND($A31&lt;&gt;"",$C31="Portfolio"),COUNTIFS($C$6:$C31,"Portfolio",$A$6:$A31,"&lt;&gt;"),"")</f>
        <v/>
      </c>
    </row>
    <row r="32">
      <c r="A32" s="25" t="n"/>
      <c r="B32" s="25" t="n"/>
      <c r="C32" s="25" t="n"/>
      <c r="D32" s="25" t="n"/>
      <c r="E32" s="25" t="n"/>
      <c r="F32" s="25" t="n"/>
      <c r="G32" s="25" t="n"/>
      <c r="H32" s="26" t="n"/>
      <c r="I32" s="26" t="n"/>
      <c r="J32" s="27" t="n"/>
      <c r="K32" s="27" t="n"/>
      <c r="L32" s="23" t="n"/>
      <c r="M32" s="28">
        <f>IF($A32="","",IF($D32="","Not read",IF($Q32=0,"Not counted",IF(MAX($X32,$Y32)=3,"■ Red",IF(MAX($X32,$Y32)=2,"◧ Amber",IF(MAX($X32,$Y32)=1,"□ On track","Not read"))))))</f>
        <v/>
      </c>
      <c r="N32" s="28">
        <f>IF(OR($A32="",$B32&lt;&gt;"Program"),"","■ "&amp;COUNTIFS($C$6:$C$305,$A32,$M$6:$M$305,"■ Red")&amp;" Red, ◧ "&amp;COUNTIFS($C$6:$C$305,$A32,$M$6:$M$305,"◧ Amber")&amp;" Amber")</f>
        <v/>
      </c>
      <c r="O32" s="29">
        <f>IF(OR($A32="",$E32=""),"",COUNTIFS($E$6:$E$305,$E32,$D$6:$D$305,"Active")+COUNTIFS($E$6:$E$305,$E32,$D$6:$D$305,"Paused"))</f>
        <v/>
      </c>
      <c r="P32" s="28">
        <f>IF($A32="","",IF($AE32=0,"○ Clear",IF($AA32=1,"△ No owner",IF($AC32=1,"△ Check Sits under",IF($AC32=2,"△ Outside the portfolio",IF($AB32=1,"△ No sponsor",IF($AH32=1,"△ Name used twice",IF($AG32=1,"△ Budget only counts under Portfolio","△ No variance note"))))))&amp;IF($AE32&gt;1," (+"&amp;($AE32-1)&amp;" more)","")))</f>
        <v/>
      </c>
      <c r="Q32" s="28">
        <f>IF(AND($A32&lt;&gt;"",OR($D32="Active",$D32="Paused")),1,0)</f>
        <v/>
      </c>
      <c r="R32" s="28">
        <f>IFERROR(INDEX($A$6:$A$305,MATCH(25,$S$6:$S$305,0)),"")</f>
        <v/>
      </c>
      <c r="S32" s="28">
        <f>IF(AND($A32&lt;&gt;"",$B32="Program"),COUNTIFS($B$6:$B32,"Program",$A$6:$A32,"&lt;&gt;"),"")</f>
        <v/>
      </c>
      <c r="T32" s="30">
        <f>IF(AND($A32&lt;&gt;"",$B32="Program"),SUMPRODUCT(MAX(($C$6:$C$305=$A32)*($B$6:$B$305="Project")*($D$6:$D$305&lt;&gt;"Proposed")*$I$6:$I$305)),0)</f>
        <v/>
      </c>
      <c r="U32" s="30">
        <f>IF($I32&lt;&gt;"",$I32,IF($T32&gt;0,$T32,""))</f>
        <v/>
      </c>
      <c r="V32" s="28">
        <f>IF(AND($A32&lt;&gt;"",$B32="Program"),SUMIFS($J$6:$J$305,$C$6:$C$305,$A32,$B$6:$B$305,"Project",$D$6:$D$305,"&lt;&gt;Proposed"),0)</f>
        <v/>
      </c>
      <c r="W32" s="28">
        <f>IF(AND($A32&lt;&gt;"",$B32="Program"),COUNTIFS($C$6:$C$305,$A32,$B$6:$B$305,"Project",$D$6:$D$305,"&lt;&gt;Proposed")-COUNTIFS($C$6:$C$305,$A32,$B$6:$B$305,"Project",$D$6:$D$305,"&lt;&gt;Proposed",$J$6:$J$305,"&gt;=0"),0)</f>
        <v/>
      </c>
      <c r="X32" s="28">
        <f>IF(OR($Q32=0,$H32="",$AF32="Sprint"),0,IF(AND($B32="Project",$H32&lt;TODAY()),3,IF($U32="",0,IF($U32&lt;=$H32,1,IF(NETWORKDAYS($H32,$U32)-1&gt;IF($B32="Program",Checks!$B$7,Checks!$B$6),3,2)))))</f>
        <v/>
      </c>
      <c r="Y32" s="28">
        <f>IF(OR($Q32=0,$K32="",$K32=0,$AF32="Sprint"),0,IF(AND($B32="Project",$J32=""),0,IF(IF($B32="Program",$V32,$J32)&gt;$K32*(1+Checks!$B$8),3,IF(IF($B32="Program",$V32,$J32)&gt;$K32,2,IF(AND($B32="Program",OR($W32&gt;0,$V32=0)),0,1)))))</f>
        <v/>
      </c>
      <c r="Z32" s="28">
        <f>IF($A32="",0,IF($C32="Portfolio",1,IF(AND($B32="Project",$C32&lt;&gt;"",$C32&lt;&gt;"Outside the portfolio"),IFERROR(IF(AND(INDEX($B$6:$B$305,MATCH($C32,$A$6:$A$305,0))="Program",INDEX($C$6:$C$305,MATCH($C32,$A$6:$A$305,0))="Portfolio"),1,0),0),0)))</f>
        <v/>
      </c>
      <c r="AA32" s="28">
        <f>IF(AND($A32&lt;&gt;"",$E32="",OR($Q32=1,$D32="Proposed")),1,0)</f>
        <v/>
      </c>
      <c r="AB32" s="28">
        <f>IF(AND($A32&lt;&gt;"",$B32="Program",$F32="",$Q32=1),1,0)</f>
        <v/>
      </c>
      <c r="AC32" s="28">
        <f>IF(OR($A32="",$D32="Completed",$D32="Terminated"),0,IF($C32="",1,IF($C32="Portfolio",0,IF($C32="Outside the portfolio",IF($Q32=1,2,0),IF($B32="Project",IF(IFERROR(INDEX($B$6:$B$305,MATCH($C32,$A$6:$A$305,0)),"")="Program",0,1),1)))))</f>
        <v/>
      </c>
      <c r="AD32" s="28">
        <f>IF(AND($A32&lt;&gt;"",OR($M32="■ Red",$M32="◧ Amber"),$L32=""),1,0)</f>
        <v/>
      </c>
      <c r="AE32" s="28">
        <f>$AA32+$AB32+IF($AC32&gt;0,1,0)+$AD32+$AG32+$AH32</f>
        <v/>
      </c>
      <c r="AF32" s="25" t="n"/>
      <c r="AG32" s="28">
        <f>IF(AND($A32&lt;&gt;"",$K32&lt;&gt;"",$C32&lt;&gt;"Portfolio",$D32&lt;&gt;"Completed",$D32&lt;&gt;"Terminated"),1,0)</f>
        <v/>
      </c>
      <c r="AH32" s="28">
        <f>IF(AND($A32&lt;&gt;"",COUNTIF($A$6:$A$305,$A32)&gt;1),1,0)</f>
        <v/>
      </c>
      <c r="AI32" s="28">
        <f>IF(AND($A32&lt;&gt;"",$C32="Portfolio"),COUNTIFS($C$6:$C32,"Portfolio",$A$6:$A32,"&lt;&gt;"),"")</f>
        <v/>
      </c>
    </row>
    <row r="33">
      <c r="A33" s="25" t="n"/>
      <c r="B33" s="25" t="n"/>
      <c r="C33" s="25" t="n"/>
      <c r="D33" s="25" t="n"/>
      <c r="E33" s="25" t="n"/>
      <c r="F33" s="25" t="n"/>
      <c r="G33" s="25" t="n"/>
      <c r="H33" s="26" t="n"/>
      <c r="I33" s="26" t="n"/>
      <c r="J33" s="27" t="n"/>
      <c r="K33" s="27" t="n"/>
      <c r="L33" s="23" t="n"/>
      <c r="M33" s="28">
        <f>IF($A33="","",IF($D33="","Not read",IF($Q33=0,"Not counted",IF(MAX($X33,$Y33)=3,"■ Red",IF(MAX($X33,$Y33)=2,"◧ Amber",IF(MAX($X33,$Y33)=1,"□ On track","Not read"))))))</f>
        <v/>
      </c>
      <c r="N33" s="28">
        <f>IF(OR($A33="",$B33&lt;&gt;"Program"),"","■ "&amp;COUNTIFS($C$6:$C$305,$A33,$M$6:$M$305,"■ Red")&amp;" Red, ◧ "&amp;COUNTIFS($C$6:$C$305,$A33,$M$6:$M$305,"◧ Amber")&amp;" Amber")</f>
        <v/>
      </c>
      <c r="O33" s="29">
        <f>IF(OR($A33="",$E33=""),"",COUNTIFS($E$6:$E$305,$E33,$D$6:$D$305,"Active")+COUNTIFS($E$6:$E$305,$E33,$D$6:$D$305,"Paused"))</f>
        <v/>
      </c>
      <c r="P33" s="28">
        <f>IF($A33="","",IF($AE33=0,"○ Clear",IF($AA33=1,"△ No owner",IF($AC33=1,"△ Check Sits under",IF($AC33=2,"△ Outside the portfolio",IF($AB33=1,"△ No sponsor",IF($AH33=1,"△ Name used twice",IF($AG33=1,"△ Budget only counts under Portfolio","△ No variance note"))))))&amp;IF($AE33&gt;1," (+"&amp;($AE33-1)&amp;" more)","")))</f>
        <v/>
      </c>
      <c r="Q33" s="28">
        <f>IF(AND($A33&lt;&gt;"",OR($D33="Active",$D33="Paused")),1,0)</f>
        <v/>
      </c>
      <c r="R33" s="28">
        <f>IFERROR(INDEX($A$6:$A$305,MATCH(26,$S$6:$S$305,0)),"")</f>
        <v/>
      </c>
      <c r="S33" s="28">
        <f>IF(AND($A33&lt;&gt;"",$B33="Program"),COUNTIFS($B$6:$B33,"Program",$A$6:$A33,"&lt;&gt;"),"")</f>
        <v/>
      </c>
      <c r="T33" s="30">
        <f>IF(AND($A33&lt;&gt;"",$B33="Program"),SUMPRODUCT(MAX(($C$6:$C$305=$A33)*($B$6:$B$305="Project")*($D$6:$D$305&lt;&gt;"Proposed")*$I$6:$I$305)),0)</f>
        <v/>
      </c>
      <c r="U33" s="30">
        <f>IF($I33&lt;&gt;"",$I33,IF($T33&gt;0,$T33,""))</f>
        <v/>
      </c>
      <c r="V33" s="28">
        <f>IF(AND($A33&lt;&gt;"",$B33="Program"),SUMIFS($J$6:$J$305,$C$6:$C$305,$A33,$B$6:$B$305,"Project",$D$6:$D$305,"&lt;&gt;Proposed"),0)</f>
        <v/>
      </c>
      <c r="W33" s="28">
        <f>IF(AND($A33&lt;&gt;"",$B33="Program"),COUNTIFS($C$6:$C$305,$A33,$B$6:$B$305,"Project",$D$6:$D$305,"&lt;&gt;Proposed")-COUNTIFS($C$6:$C$305,$A33,$B$6:$B$305,"Project",$D$6:$D$305,"&lt;&gt;Proposed",$J$6:$J$305,"&gt;=0"),0)</f>
        <v/>
      </c>
      <c r="X33" s="28">
        <f>IF(OR($Q33=0,$H33="",$AF33="Sprint"),0,IF(AND($B33="Project",$H33&lt;TODAY()),3,IF($U33="",0,IF($U33&lt;=$H33,1,IF(NETWORKDAYS($H33,$U33)-1&gt;IF($B33="Program",Checks!$B$7,Checks!$B$6),3,2)))))</f>
        <v/>
      </c>
      <c r="Y33" s="28">
        <f>IF(OR($Q33=0,$K33="",$K33=0,$AF33="Sprint"),0,IF(AND($B33="Project",$J33=""),0,IF(IF($B33="Program",$V33,$J33)&gt;$K33*(1+Checks!$B$8),3,IF(IF($B33="Program",$V33,$J33)&gt;$K33,2,IF(AND($B33="Program",OR($W33&gt;0,$V33=0)),0,1)))))</f>
        <v/>
      </c>
      <c r="Z33" s="28">
        <f>IF($A33="",0,IF($C33="Portfolio",1,IF(AND($B33="Project",$C33&lt;&gt;"",$C33&lt;&gt;"Outside the portfolio"),IFERROR(IF(AND(INDEX($B$6:$B$305,MATCH($C33,$A$6:$A$305,0))="Program",INDEX($C$6:$C$305,MATCH($C33,$A$6:$A$305,0))="Portfolio"),1,0),0),0)))</f>
        <v/>
      </c>
      <c r="AA33" s="28">
        <f>IF(AND($A33&lt;&gt;"",$E33="",OR($Q33=1,$D33="Proposed")),1,0)</f>
        <v/>
      </c>
      <c r="AB33" s="28">
        <f>IF(AND($A33&lt;&gt;"",$B33="Program",$F33="",$Q33=1),1,0)</f>
        <v/>
      </c>
      <c r="AC33" s="28">
        <f>IF(OR($A33="",$D33="Completed",$D33="Terminated"),0,IF($C33="",1,IF($C33="Portfolio",0,IF($C33="Outside the portfolio",IF($Q33=1,2,0),IF($B33="Project",IF(IFERROR(INDEX($B$6:$B$305,MATCH($C33,$A$6:$A$305,0)),"")="Program",0,1),1)))))</f>
        <v/>
      </c>
      <c r="AD33" s="28">
        <f>IF(AND($A33&lt;&gt;"",OR($M33="■ Red",$M33="◧ Amber"),$L33=""),1,0)</f>
        <v/>
      </c>
      <c r="AE33" s="28">
        <f>$AA33+$AB33+IF($AC33&gt;0,1,0)+$AD33+$AG33+$AH33</f>
        <v/>
      </c>
      <c r="AF33" s="25" t="n"/>
      <c r="AG33" s="28">
        <f>IF(AND($A33&lt;&gt;"",$K33&lt;&gt;"",$C33&lt;&gt;"Portfolio",$D33&lt;&gt;"Completed",$D33&lt;&gt;"Terminated"),1,0)</f>
        <v/>
      </c>
      <c r="AH33" s="28">
        <f>IF(AND($A33&lt;&gt;"",COUNTIF($A$6:$A$305,$A33)&gt;1),1,0)</f>
        <v/>
      </c>
      <c r="AI33" s="28">
        <f>IF(AND($A33&lt;&gt;"",$C33="Portfolio"),COUNTIFS($C$6:$C33,"Portfolio",$A$6:$A33,"&lt;&gt;"),"")</f>
        <v/>
      </c>
    </row>
    <row r="34">
      <c r="A34" s="25" t="n"/>
      <c r="B34" s="25" t="n"/>
      <c r="C34" s="25" t="n"/>
      <c r="D34" s="25" t="n"/>
      <c r="E34" s="25" t="n"/>
      <c r="F34" s="25" t="n"/>
      <c r="G34" s="25" t="n"/>
      <c r="H34" s="26" t="n"/>
      <c r="I34" s="26" t="n"/>
      <c r="J34" s="27" t="n"/>
      <c r="K34" s="27" t="n"/>
      <c r="L34" s="23" t="n"/>
      <c r="M34" s="28">
        <f>IF($A34="","",IF($D34="","Not read",IF($Q34=0,"Not counted",IF(MAX($X34,$Y34)=3,"■ Red",IF(MAX($X34,$Y34)=2,"◧ Amber",IF(MAX($X34,$Y34)=1,"□ On track","Not read"))))))</f>
        <v/>
      </c>
      <c r="N34" s="28">
        <f>IF(OR($A34="",$B34&lt;&gt;"Program"),"","■ "&amp;COUNTIFS($C$6:$C$305,$A34,$M$6:$M$305,"■ Red")&amp;" Red, ◧ "&amp;COUNTIFS($C$6:$C$305,$A34,$M$6:$M$305,"◧ Amber")&amp;" Amber")</f>
        <v/>
      </c>
      <c r="O34" s="29">
        <f>IF(OR($A34="",$E34=""),"",COUNTIFS($E$6:$E$305,$E34,$D$6:$D$305,"Active")+COUNTIFS($E$6:$E$305,$E34,$D$6:$D$305,"Paused"))</f>
        <v/>
      </c>
      <c r="P34" s="28">
        <f>IF($A34="","",IF($AE34=0,"○ Clear",IF($AA34=1,"△ No owner",IF($AC34=1,"△ Check Sits under",IF($AC34=2,"△ Outside the portfolio",IF($AB34=1,"△ No sponsor",IF($AH34=1,"△ Name used twice",IF($AG34=1,"△ Budget only counts under Portfolio","△ No variance note"))))))&amp;IF($AE34&gt;1," (+"&amp;($AE34-1)&amp;" more)","")))</f>
        <v/>
      </c>
      <c r="Q34" s="28">
        <f>IF(AND($A34&lt;&gt;"",OR($D34="Active",$D34="Paused")),1,0)</f>
        <v/>
      </c>
      <c r="R34" s="28">
        <f>IFERROR(INDEX($A$6:$A$305,MATCH(27,$S$6:$S$305,0)),"")</f>
        <v/>
      </c>
      <c r="S34" s="28">
        <f>IF(AND($A34&lt;&gt;"",$B34="Program"),COUNTIFS($B$6:$B34,"Program",$A$6:$A34,"&lt;&gt;"),"")</f>
        <v/>
      </c>
      <c r="T34" s="30">
        <f>IF(AND($A34&lt;&gt;"",$B34="Program"),SUMPRODUCT(MAX(($C$6:$C$305=$A34)*($B$6:$B$305="Project")*($D$6:$D$305&lt;&gt;"Proposed")*$I$6:$I$305)),0)</f>
        <v/>
      </c>
      <c r="U34" s="30">
        <f>IF($I34&lt;&gt;"",$I34,IF($T34&gt;0,$T34,""))</f>
        <v/>
      </c>
      <c r="V34" s="28">
        <f>IF(AND($A34&lt;&gt;"",$B34="Program"),SUMIFS($J$6:$J$305,$C$6:$C$305,$A34,$B$6:$B$305,"Project",$D$6:$D$305,"&lt;&gt;Proposed"),0)</f>
        <v/>
      </c>
      <c r="W34" s="28">
        <f>IF(AND($A34&lt;&gt;"",$B34="Program"),COUNTIFS($C$6:$C$305,$A34,$B$6:$B$305,"Project",$D$6:$D$305,"&lt;&gt;Proposed")-COUNTIFS($C$6:$C$305,$A34,$B$6:$B$305,"Project",$D$6:$D$305,"&lt;&gt;Proposed",$J$6:$J$305,"&gt;=0"),0)</f>
        <v/>
      </c>
      <c r="X34" s="28">
        <f>IF(OR($Q34=0,$H34="",$AF34="Sprint"),0,IF(AND($B34="Project",$H34&lt;TODAY()),3,IF($U34="",0,IF($U34&lt;=$H34,1,IF(NETWORKDAYS($H34,$U34)-1&gt;IF($B34="Program",Checks!$B$7,Checks!$B$6),3,2)))))</f>
        <v/>
      </c>
      <c r="Y34" s="28">
        <f>IF(OR($Q34=0,$K34="",$K34=0,$AF34="Sprint"),0,IF(AND($B34="Project",$J34=""),0,IF(IF($B34="Program",$V34,$J34)&gt;$K34*(1+Checks!$B$8),3,IF(IF($B34="Program",$V34,$J34)&gt;$K34,2,IF(AND($B34="Program",OR($W34&gt;0,$V34=0)),0,1)))))</f>
        <v/>
      </c>
      <c r="Z34" s="28">
        <f>IF($A34="",0,IF($C34="Portfolio",1,IF(AND($B34="Project",$C34&lt;&gt;"",$C34&lt;&gt;"Outside the portfolio"),IFERROR(IF(AND(INDEX($B$6:$B$305,MATCH($C34,$A$6:$A$305,0))="Program",INDEX($C$6:$C$305,MATCH($C34,$A$6:$A$305,0))="Portfolio"),1,0),0),0)))</f>
        <v/>
      </c>
      <c r="AA34" s="28">
        <f>IF(AND($A34&lt;&gt;"",$E34="",OR($Q34=1,$D34="Proposed")),1,0)</f>
        <v/>
      </c>
      <c r="AB34" s="28">
        <f>IF(AND($A34&lt;&gt;"",$B34="Program",$F34="",$Q34=1),1,0)</f>
        <v/>
      </c>
      <c r="AC34" s="28">
        <f>IF(OR($A34="",$D34="Completed",$D34="Terminated"),0,IF($C34="",1,IF($C34="Portfolio",0,IF($C34="Outside the portfolio",IF($Q34=1,2,0),IF($B34="Project",IF(IFERROR(INDEX($B$6:$B$305,MATCH($C34,$A$6:$A$305,0)),"")="Program",0,1),1)))))</f>
        <v/>
      </c>
      <c r="AD34" s="28">
        <f>IF(AND($A34&lt;&gt;"",OR($M34="■ Red",$M34="◧ Amber"),$L34=""),1,0)</f>
        <v/>
      </c>
      <c r="AE34" s="28">
        <f>$AA34+$AB34+IF($AC34&gt;0,1,0)+$AD34+$AG34+$AH34</f>
        <v/>
      </c>
      <c r="AF34" s="25" t="n"/>
      <c r="AG34" s="28">
        <f>IF(AND($A34&lt;&gt;"",$K34&lt;&gt;"",$C34&lt;&gt;"Portfolio",$D34&lt;&gt;"Completed",$D34&lt;&gt;"Terminated"),1,0)</f>
        <v/>
      </c>
      <c r="AH34" s="28">
        <f>IF(AND($A34&lt;&gt;"",COUNTIF($A$6:$A$305,$A34)&gt;1),1,0)</f>
        <v/>
      </c>
      <c r="AI34" s="28">
        <f>IF(AND($A34&lt;&gt;"",$C34="Portfolio"),COUNTIFS($C$6:$C34,"Portfolio",$A$6:$A34,"&lt;&gt;"),"")</f>
        <v/>
      </c>
    </row>
    <row r="35">
      <c r="A35" s="25" t="n"/>
      <c r="B35" s="25" t="n"/>
      <c r="C35" s="25" t="n"/>
      <c r="D35" s="25" t="n"/>
      <c r="E35" s="25" t="n"/>
      <c r="F35" s="25" t="n"/>
      <c r="G35" s="25" t="n"/>
      <c r="H35" s="26" t="n"/>
      <c r="I35" s="26" t="n"/>
      <c r="J35" s="27" t="n"/>
      <c r="K35" s="27" t="n"/>
      <c r="L35" s="23" t="n"/>
      <c r="M35" s="28">
        <f>IF($A35="","",IF($D35="","Not read",IF($Q35=0,"Not counted",IF(MAX($X35,$Y35)=3,"■ Red",IF(MAX($X35,$Y35)=2,"◧ Amber",IF(MAX($X35,$Y35)=1,"□ On track","Not read"))))))</f>
        <v/>
      </c>
      <c r="N35" s="28">
        <f>IF(OR($A35="",$B35&lt;&gt;"Program"),"","■ "&amp;COUNTIFS($C$6:$C$305,$A35,$M$6:$M$305,"■ Red")&amp;" Red, ◧ "&amp;COUNTIFS($C$6:$C$305,$A35,$M$6:$M$305,"◧ Amber")&amp;" Amber")</f>
        <v/>
      </c>
      <c r="O35" s="29">
        <f>IF(OR($A35="",$E35=""),"",COUNTIFS($E$6:$E$305,$E35,$D$6:$D$305,"Active")+COUNTIFS($E$6:$E$305,$E35,$D$6:$D$305,"Paused"))</f>
        <v/>
      </c>
      <c r="P35" s="28">
        <f>IF($A35="","",IF($AE35=0,"○ Clear",IF($AA35=1,"△ No owner",IF($AC35=1,"△ Check Sits under",IF($AC35=2,"△ Outside the portfolio",IF($AB35=1,"△ No sponsor",IF($AH35=1,"△ Name used twice",IF($AG35=1,"△ Budget only counts under Portfolio","△ No variance note"))))))&amp;IF($AE35&gt;1," (+"&amp;($AE35-1)&amp;" more)","")))</f>
        <v/>
      </c>
      <c r="Q35" s="28">
        <f>IF(AND($A35&lt;&gt;"",OR($D35="Active",$D35="Paused")),1,0)</f>
        <v/>
      </c>
      <c r="R35" s="28">
        <f>IFERROR(INDEX($A$6:$A$305,MATCH(28,$S$6:$S$305,0)),"")</f>
        <v/>
      </c>
      <c r="S35" s="28">
        <f>IF(AND($A35&lt;&gt;"",$B35="Program"),COUNTIFS($B$6:$B35,"Program",$A$6:$A35,"&lt;&gt;"),"")</f>
        <v/>
      </c>
      <c r="T35" s="30">
        <f>IF(AND($A35&lt;&gt;"",$B35="Program"),SUMPRODUCT(MAX(($C$6:$C$305=$A35)*($B$6:$B$305="Project")*($D$6:$D$305&lt;&gt;"Proposed")*$I$6:$I$305)),0)</f>
        <v/>
      </c>
      <c r="U35" s="30">
        <f>IF($I35&lt;&gt;"",$I35,IF($T35&gt;0,$T35,""))</f>
        <v/>
      </c>
      <c r="V35" s="28">
        <f>IF(AND($A35&lt;&gt;"",$B35="Program"),SUMIFS($J$6:$J$305,$C$6:$C$305,$A35,$B$6:$B$305,"Project",$D$6:$D$305,"&lt;&gt;Proposed"),0)</f>
        <v/>
      </c>
      <c r="W35" s="28">
        <f>IF(AND($A35&lt;&gt;"",$B35="Program"),COUNTIFS($C$6:$C$305,$A35,$B$6:$B$305,"Project",$D$6:$D$305,"&lt;&gt;Proposed")-COUNTIFS($C$6:$C$305,$A35,$B$6:$B$305,"Project",$D$6:$D$305,"&lt;&gt;Proposed",$J$6:$J$305,"&gt;=0"),0)</f>
        <v/>
      </c>
      <c r="X35" s="28">
        <f>IF(OR($Q35=0,$H35="",$AF35="Sprint"),0,IF(AND($B35="Project",$H35&lt;TODAY()),3,IF($U35="",0,IF($U35&lt;=$H35,1,IF(NETWORKDAYS($H35,$U35)-1&gt;IF($B35="Program",Checks!$B$7,Checks!$B$6),3,2)))))</f>
        <v/>
      </c>
      <c r="Y35" s="28">
        <f>IF(OR($Q35=0,$K35="",$K35=0,$AF35="Sprint"),0,IF(AND($B35="Project",$J35=""),0,IF(IF($B35="Program",$V35,$J35)&gt;$K35*(1+Checks!$B$8),3,IF(IF($B35="Program",$V35,$J35)&gt;$K35,2,IF(AND($B35="Program",OR($W35&gt;0,$V35=0)),0,1)))))</f>
        <v/>
      </c>
      <c r="Z35" s="28">
        <f>IF($A35="",0,IF($C35="Portfolio",1,IF(AND($B35="Project",$C35&lt;&gt;"",$C35&lt;&gt;"Outside the portfolio"),IFERROR(IF(AND(INDEX($B$6:$B$305,MATCH($C35,$A$6:$A$305,0))="Program",INDEX($C$6:$C$305,MATCH($C35,$A$6:$A$305,0))="Portfolio"),1,0),0),0)))</f>
        <v/>
      </c>
      <c r="AA35" s="28">
        <f>IF(AND($A35&lt;&gt;"",$E35="",OR($Q35=1,$D35="Proposed")),1,0)</f>
        <v/>
      </c>
      <c r="AB35" s="28">
        <f>IF(AND($A35&lt;&gt;"",$B35="Program",$F35="",$Q35=1),1,0)</f>
        <v/>
      </c>
      <c r="AC35" s="28">
        <f>IF(OR($A35="",$D35="Completed",$D35="Terminated"),0,IF($C35="",1,IF($C35="Portfolio",0,IF($C35="Outside the portfolio",IF($Q35=1,2,0),IF($B35="Project",IF(IFERROR(INDEX($B$6:$B$305,MATCH($C35,$A$6:$A$305,0)),"")="Program",0,1),1)))))</f>
        <v/>
      </c>
      <c r="AD35" s="28">
        <f>IF(AND($A35&lt;&gt;"",OR($M35="■ Red",$M35="◧ Amber"),$L35=""),1,0)</f>
        <v/>
      </c>
      <c r="AE35" s="28">
        <f>$AA35+$AB35+IF($AC35&gt;0,1,0)+$AD35+$AG35+$AH35</f>
        <v/>
      </c>
      <c r="AF35" s="25" t="n"/>
      <c r="AG35" s="28">
        <f>IF(AND($A35&lt;&gt;"",$K35&lt;&gt;"",$C35&lt;&gt;"Portfolio",$D35&lt;&gt;"Completed",$D35&lt;&gt;"Terminated"),1,0)</f>
        <v/>
      </c>
      <c r="AH35" s="28">
        <f>IF(AND($A35&lt;&gt;"",COUNTIF($A$6:$A$305,$A35)&gt;1),1,0)</f>
        <v/>
      </c>
      <c r="AI35" s="28">
        <f>IF(AND($A35&lt;&gt;"",$C35="Portfolio"),COUNTIFS($C$6:$C35,"Portfolio",$A$6:$A35,"&lt;&gt;"),"")</f>
        <v/>
      </c>
    </row>
    <row r="36">
      <c r="A36" s="25" t="n"/>
      <c r="B36" s="25" t="n"/>
      <c r="C36" s="25" t="n"/>
      <c r="D36" s="25" t="n"/>
      <c r="E36" s="25" t="n"/>
      <c r="F36" s="25" t="n"/>
      <c r="G36" s="25" t="n"/>
      <c r="H36" s="26" t="n"/>
      <c r="I36" s="26" t="n"/>
      <c r="J36" s="27" t="n"/>
      <c r="K36" s="27" t="n"/>
      <c r="L36" s="23" t="n"/>
      <c r="M36" s="28">
        <f>IF($A36="","",IF($D36="","Not read",IF($Q36=0,"Not counted",IF(MAX($X36,$Y36)=3,"■ Red",IF(MAX($X36,$Y36)=2,"◧ Amber",IF(MAX($X36,$Y36)=1,"□ On track","Not read"))))))</f>
        <v/>
      </c>
      <c r="N36" s="28">
        <f>IF(OR($A36="",$B36&lt;&gt;"Program"),"","■ "&amp;COUNTIFS($C$6:$C$305,$A36,$M$6:$M$305,"■ Red")&amp;" Red, ◧ "&amp;COUNTIFS($C$6:$C$305,$A36,$M$6:$M$305,"◧ Amber")&amp;" Amber")</f>
        <v/>
      </c>
      <c r="O36" s="29">
        <f>IF(OR($A36="",$E36=""),"",COUNTIFS($E$6:$E$305,$E36,$D$6:$D$305,"Active")+COUNTIFS($E$6:$E$305,$E36,$D$6:$D$305,"Paused"))</f>
        <v/>
      </c>
      <c r="P36" s="28">
        <f>IF($A36="","",IF($AE36=0,"○ Clear",IF($AA36=1,"△ No owner",IF($AC36=1,"△ Check Sits under",IF($AC36=2,"△ Outside the portfolio",IF($AB36=1,"△ No sponsor",IF($AH36=1,"△ Name used twice",IF($AG36=1,"△ Budget only counts under Portfolio","△ No variance note"))))))&amp;IF($AE36&gt;1," (+"&amp;($AE36-1)&amp;" more)","")))</f>
        <v/>
      </c>
      <c r="Q36" s="28">
        <f>IF(AND($A36&lt;&gt;"",OR($D36="Active",$D36="Paused")),1,0)</f>
        <v/>
      </c>
      <c r="R36" s="28">
        <f>IFERROR(INDEX($A$6:$A$305,MATCH(29,$S$6:$S$305,0)),"")</f>
        <v/>
      </c>
      <c r="S36" s="28">
        <f>IF(AND($A36&lt;&gt;"",$B36="Program"),COUNTIFS($B$6:$B36,"Program",$A$6:$A36,"&lt;&gt;"),"")</f>
        <v/>
      </c>
      <c r="T36" s="30">
        <f>IF(AND($A36&lt;&gt;"",$B36="Program"),SUMPRODUCT(MAX(($C$6:$C$305=$A36)*($B$6:$B$305="Project")*($D$6:$D$305&lt;&gt;"Proposed")*$I$6:$I$305)),0)</f>
        <v/>
      </c>
      <c r="U36" s="30">
        <f>IF($I36&lt;&gt;"",$I36,IF($T36&gt;0,$T36,""))</f>
        <v/>
      </c>
      <c r="V36" s="28">
        <f>IF(AND($A36&lt;&gt;"",$B36="Program"),SUMIFS($J$6:$J$305,$C$6:$C$305,$A36,$B$6:$B$305,"Project",$D$6:$D$305,"&lt;&gt;Proposed"),0)</f>
        <v/>
      </c>
      <c r="W36" s="28">
        <f>IF(AND($A36&lt;&gt;"",$B36="Program"),COUNTIFS($C$6:$C$305,$A36,$B$6:$B$305,"Project",$D$6:$D$305,"&lt;&gt;Proposed")-COUNTIFS($C$6:$C$305,$A36,$B$6:$B$305,"Project",$D$6:$D$305,"&lt;&gt;Proposed",$J$6:$J$305,"&gt;=0"),0)</f>
        <v/>
      </c>
      <c r="X36" s="28">
        <f>IF(OR($Q36=0,$H36="",$AF36="Sprint"),0,IF(AND($B36="Project",$H36&lt;TODAY()),3,IF($U36="",0,IF($U36&lt;=$H36,1,IF(NETWORKDAYS($H36,$U36)-1&gt;IF($B36="Program",Checks!$B$7,Checks!$B$6),3,2)))))</f>
        <v/>
      </c>
      <c r="Y36" s="28">
        <f>IF(OR($Q36=0,$K36="",$K36=0,$AF36="Sprint"),0,IF(AND($B36="Project",$J36=""),0,IF(IF($B36="Program",$V36,$J36)&gt;$K36*(1+Checks!$B$8),3,IF(IF($B36="Program",$V36,$J36)&gt;$K36,2,IF(AND($B36="Program",OR($W36&gt;0,$V36=0)),0,1)))))</f>
        <v/>
      </c>
      <c r="Z36" s="28">
        <f>IF($A36="",0,IF($C36="Portfolio",1,IF(AND($B36="Project",$C36&lt;&gt;"",$C36&lt;&gt;"Outside the portfolio"),IFERROR(IF(AND(INDEX($B$6:$B$305,MATCH($C36,$A$6:$A$305,0))="Program",INDEX($C$6:$C$305,MATCH($C36,$A$6:$A$305,0))="Portfolio"),1,0),0),0)))</f>
        <v/>
      </c>
      <c r="AA36" s="28">
        <f>IF(AND($A36&lt;&gt;"",$E36="",OR($Q36=1,$D36="Proposed")),1,0)</f>
        <v/>
      </c>
      <c r="AB36" s="28">
        <f>IF(AND($A36&lt;&gt;"",$B36="Program",$F36="",$Q36=1),1,0)</f>
        <v/>
      </c>
      <c r="AC36" s="28">
        <f>IF(OR($A36="",$D36="Completed",$D36="Terminated"),0,IF($C36="",1,IF($C36="Portfolio",0,IF($C36="Outside the portfolio",IF($Q36=1,2,0),IF($B36="Project",IF(IFERROR(INDEX($B$6:$B$305,MATCH($C36,$A$6:$A$305,0)),"")="Program",0,1),1)))))</f>
        <v/>
      </c>
      <c r="AD36" s="28">
        <f>IF(AND($A36&lt;&gt;"",OR($M36="■ Red",$M36="◧ Amber"),$L36=""),1,0)</f>
        <v/>
      </c>
      <c r="AE36" s="28">
        <f>$AA36+$AB36+IF($AC36&gt;0,1,0)+$AD36+$AG36+$AH36</f>
        <v/>
      </c>
      <c r="AF36" s="25" t="n"/>
      <c r="AG36" s="28">
        <f>IF(AND($A36&lt;&gt;"",$K36&lt;&gt;"",$C36&lt;&gt;"Portfolio",$D36&lt;&gt;"Completed",$D36&lt;&gt;"Terminated"),1,0)</f>
        <v/>
      </c>
      <c r="AH36" s="28">
        <f>IF(AND($A36&lt;&gt;"",COUNTIF($A$6:$A$305,$A36)&gt;1),1,0)</f>
        <v/>
      </c>
      <c r="AI36" s="28">
        <f>IF(AND($A36&lt;&gt;"",$C36="Portfolio"),COUNTIFS($C$6:$C36,"Portfolio",$A$6:$A36,"&lt;&gt;"),"")</f>
        <v/>
      </c>
    </row>
    <row r="37">
      <c r="A37" s="25" t="n"/>
      <c r="B37" s="25" t="n"/>
      <c r="C37" s="25" t="n"/>
      <c r="D37" s="25" t="n"/>
      <c r="E37" s="25" t="n"/>
      <c r="F37" s="25" t="n"/>
      <c r="G37" s="25" t="n"/>
      <c r="H37" s="26" t="n"/>
      <c r="I37" s="26" t="n"/>
      <c r="J37" s="27" t="n"/>
      <c r="K37" s="27" t="n"/>
      <c r="L37" s="23" t="n"/>
      <c r="M37" s="28">
        <f>IF($A37="","",IF($D37="","Not read",IF($Q37=0,"Not counted",IF(MAX($X37,$Y37)=3,"■ Red",IF(MAX($X37,$Y37)=2,"◧ Amber",IF(MAX($X37,$Y37)=1,"□ On track","Not read"))))))</f>
        <v/>
      </c>
      <c r="N37" s="28">
        <f>IF(OR($A37="",$B37&lt;&gt;"Program"),"","■ "&amp;COUNTIFS($C$6:$C$305,$A37,$M$6:$M$305,"■ Red")&amp;" Red, ◧ "&amp;COUNTIFS($C$6:$C$305,$A37,$M$6:$M$305,"◧ Amber")&amp;" Amber")</f>
        <v/>
      </c>
      <c r="O37" s="29">
        <f>IF(OR($A37="",$E37=""),"",COUNTIFS($E$6:$E$305,$E37,$D$6:$D$305,"Active")+COUNTIFS($E$6:$E$305,$E37,$D$6:$D$305,"Paused"))</f>
        <v/>
      </c>
      <c r="P37" s="28">
        <f>IF($A37="","",IF($AE37=0,"○ Clear",IF($AA37=1,"△ No owner",IF($AC37=1,"△ Check Sits under",IF($AC37=2,"△ Outside the portfolio",IF($AB37=1,"△ No sponsor",IF($AH37=1,"△ Name used twice",IF($AG37=1,"△ Budget only counts under Portfolio","△ No variance note"))))))&amp;IF($AE37&gt;1," (+"&amp;($AE37-1)&amp;" more)","")))</f>
        <v/>
      </c>
      <c r="Q37" s="28">
        <f>IF(AND($A37&lt;&gt;"",OR($D37="Active",$D37="Paused")),1,0)</f>
        <v/>
      </c>
      <c r="R37" s="28">
        <f>IFERROR(INDEX($A$6:$A$305,MATCH(30,$S$6:$S$305,0)),"")</f>
        <v/>
      </c>
      <c r="S37" s="28">
        <f>IF(AND($A37&lt;&gt;"",$B37="Program"),COUNTIFS($B$6:$B37,"Program",$A$6:$A37,"&lt;&gt;"),"")</f>
        <v/>
      </c>
      <c r="T37" s="30">
        <f>IF(AND($A37&lt;&gt;"",$B37="Program"),SUMPRODUCT(MAX(($C$6:$C$305=$A37)*($B$6:$B$305="Project")*($D$6:$D$305&lt;&gt;"Proposed")*$I$6:$I$305)),0)</f>
        <v/>
      </c>
      <c r="U37" s="30">
        <f>IF($I37&lt;&gt;"",$I37,IF($T37&gt;0,$T37,""))</f>
        <v/>
      </c>
      <c r="V37" s="28">
        <f>IF(AND($A37&lt;&gt;"",$B37="Program"),SUMIFS($J$6:$J$305,$C$6:$C$305,$A37,$B$6:$B$305,"Project",$D$6:$D$305,"&lt;&gt;Proposed"),0)</f>
        <v/>
      </c>
      <c r="W37" s="28">
        <f>IF(AND($A37&lt;&gt;"",$B37="Program"),COUNTIFS($C$6:$C$305,$A37,$B$6:$B$305,"Project",$D$6:$D$305,"&lt;&gt;Proposed")-COUNTIFS($C$6:$C$305,$A37,$B$6:$B$305,"Project",$D$6:$D$305,"&lt;&gt;Proposed",$J$6:$J$305,"&gt;=0"),0)</f>
        <v/>
      </c>
      <c r="X37" s="28">
        <f>IF(OR($Q37=0,$H37="",$AF37="Sprint"),0,IF(AND($B37="Project",$H37&lt;TODAY()),3,IF($U37="",0,IF($U37&lt;=$H37,1,IF(NETWORKDAYS($H37,$U37)-1&gt;IF($B37="Program",Checks!$B$7,Checks!$B$6),3,2)))))</f>
        <v/>
      </c>
      <c r="Y37" s="28">
        <f>IF(OR($Q37=0,$K37="",$K37=0,$AF37="Sprint"),0,IF(AND($B37="Project",$J37=""),0,IF(IF($B37="Program",$V37,$J37)&gt;$K37*(1+Checks!$B$8),3,IF(IF($B37="Program",$V37,$J37)&gt;$K37,2,IF(AND($B37="Program",OR($W37&gt;0,$V37=0)),0,1)))))</f>
        <v/>
      </c>
      <c r="Z37" s="28">
        <f>IF($A37="",0,IF($C37="Portfolio",1,IF(AND($B37="Project",$C37&lt;&gt;"",$C37&lt;&gt;"Outside the portfolio"),IFERROR(IF(AND(INDEX($B$6:$B$305,MATCH($C37,$A$6:$A$305,0))="Program",INDEX($C$6:$C$305,MATCH($C37,$A$6:$A$305,0))="Portfolio"),1,0),0),0)))</f>
        <v/>
      </c>
      <c r="AA37" s="28">
        <f>IF(AND($A37&lt;&gt;"",$E37="",OR($Q37=1,$D37="Proposed")),1,0)</f>
        <v/>
      </c>
      <c r="AB37" s="28">
        <f>IF(AND($A37&lt;&gt;"",$B37="Program",$F37="",$Q37=1),1,0)</f>
        <v/>
      </c>
      <c r="AC37" s="28">
        <f>IF(OR($A37="",$D37="Completed",$D37="Terminated"),0,IF($C37="",1,IF($C37="Portfolio",0,IF($C37="Outside the portfolio",IF($Q37=1,2,0),IF($B37="Project",IF(IFERROR(INDEX($B$6:$B$305,MATCH($C37,$A$6:$A$305,0)),"")="Program",0,1),1)))))</f>
        <v/>
      </c>
      <c r="AD37" s="28">
        <f>IF(AND($A37&lt;&gt;"",OR($M37="■ Red",$M37="◧ Amber"),$L37=""),1,0)</f>
        <v/>
      </c>
      <c r="AE37" s="28">
        <f>$AA37+$AB37+IF($AC37&gt;0,1,0)+$AD37+$AG37+$AH37</f>
        <v/>
      </c>
      <c r="AF37" s="25" t="n"/>
      <c r="AG37" s="28">
        <f>IF(AND($A37&lt;&gt;"",$K37&lt;&gt;"",$C37&lt;&gt;"Portfolio",$D37&lt;&gt;"Completed",$D37&lt;&gt;"Terminated"),1,0)</f>
        <v/>
      </c>
      <c r="AH37" s="28">
        <f>IF(AND($A37&lt;&gt;"",COUNTIF($A$6:$A$305,$A37)&gt;1),1,0)</f>
        <v/>
      </c>
      <c r="AI37" s="28">
        <f>IF(AND($A37&lt;&gt;"",$C37="Portfolio"),COUNTIFS($C$6:$C37,"Portfolio",$A$6:$A37,"&lt;&gt;"),"")</f>
        <v/>
      </c>
    </row>
    <row r="38">
      <c r="A38" s="25" t="n"/>
      <c r="B38" s="25" t="n"/>
      <c r="C38" s="25" t="n"/>
      <c r="D38" s="25" t="n"/>
      <c r="E38" s="25" t="n"/>
      <c r="F38" s="25" t="n"/>
      <c r="G38" s="25" t="n"/>
      <c r="H38" s="26" t="n"/>
      <c r="I38" s="26" t="n"/>
      <c r="J38" s="27" t="n"/>
      <c r="K38" s="27" t="n"/>
      <c r="L38" s="23" t="n"/>
      <c r="M38" s="28">
        <f>IF($A38="","",IF($D38="","Not read",IF($Q38=0,"Not counted",IF(MAX($X38,$Y38)=3,"■ Red",IF(MAX($X38,$Y38)=2,"◧ Amber",IF(MAX($X38,$Y38)=1,"□ On track","Not read"))))))</f>
        <v/>
      </c>
      <c r="N38" s="28">
        <f>IF(OR($A38="",$B38&lt;&gt;"Program"),"","■ "&amp;COUNTIFS($C$6:$C$305,$A38,$M$6:$M$305,"■ Red")&amp;" Red, ◧ "&amp;COUNTIFS($C$6:$C$305,$A38,$M$6:$M$305,"◧ Amber")&amp;" Amber")</f>
        <v/>
      </c>
      <c r="O38" s="29">
        <f>IF(OR($A38="",$E38=""),"",COUNTIFS($E$6:$E$305,$E38,$D$6:$D$305,"Active")+COUNTIFS($E$6:$E$305,$E38,$D$6:$D$305,"Paused"))</f>
        <v/>
      </c>
      <c r="P38" s="28">
        <f>IF($A38="","",IF($AE38=0,"○ Clear",IF($AA38=1,"△ No owner",IF($AC38=1,"△ Check Sits under",IF($AC38=2,"△ Outside the portfolio",IF($AB38=1,"△ No sponsor",IF($AH38=1,"△ Name used twice",IF($AG38=1,"△ Budget only counts under Portfolio","△ No variance note"))))))&amp;IF($AE38&gt;1," (+"&amp;($AE38-1)&amp;" more)","")))</f>
        <v/>
      </c>
      <c r="Q38" s="28">
        <f>IF(AND($A38&lt;&gt;"",OR($D38="Active",$D38="Paused")),1,0)</f>
        <v/>
      </c>
      <c r="R38" s="28">
        <f>IFERROR(INDEX($A$6:$A$305,MATCH(31,$S$6:$S$305,0)),"")</f>
        <v/>
      </c>
      <c r="S38" s="28">
        <f>IF(AND($A38&lt;&gt;"",$B38="Program"),COUNTIFS($B$6:$B38,"Program",$A$6:$A38,"&lt;&gt;"),"")</f>
        <v/>
      </c>
      <c r="T38" s="30">
        <f>IF(AND($A38&lt;&gt;"",$B38="Program"),SUMPRODUCT(MAX(($C$6:$C$305=$A38)*($B$6:$B$305="Project")*($D$6:$D$305&lt;&gt;"Proposed")*$I$6:$I$305)),0)</f>
        <v/>
      </c>
      <c r="U38" s="30">
        <f>IF($I38&lt;&gt;"",$I38,IF($T38&gt;0,$T38,""))</f>
        <v/>
      </c>
      <c r="V38" s="28">
        <f>IF(AND($A38&lt;&gt;"",$B38="Program"),SUMIFS($J$6:$J$305,$C$6:$C$305,$A38,$B$6:$B$305,"Project",$D$6:$D$305,"&lt;&gt;Proposed"),0)</f>
        <v/>
      </c>
      <c r="W38" s="28">
        <f>IF(AND($A38&lt;&gt;"",$B38="Program"),COUNTIFS($C$6:$C$305,$A38,$B$6:$B$305,"Project",$D$6:$D$305,"&lt;&gt;Proposed")-COUNTIFS($C$6:$C$305,$A38,$B$6:$B$305,"Project",$D$6:$D$305,"&lt;&gt;Proposed",$J$6:$J$305,"&gt;=0"),0)</f>
        <v/>
      </c>
      <c r="X38" s="28">
        <f>IF(OR($Q38=0,$H38="",$AF38="Sprint"),0,IF(AND($B38="Project",$H38&lt;TODAY()),3,IF($U38="",0,IF($U38&lt;=$H38,1,IF(NETWORKDAYS($H38,$U38)-1&gt;IF($B38="Program",Checks!$B$7,Checks!$B$6),3,2)))))</f>
        <v/>
      </c>
      <c r="Y38" s="28">
        <f>IF(OR($Q38=0,$K38="",$K38=0,$AF38="Sprint"),0,IF(AND($B38="Project",$J38=""),0,IF(IF($B38="Program",$V38,$J38)&gt;$K38*(1+Checks!$B$8),3,IF(IF($B38="Program",$V38,$J38)&gt;$K38,2,IF(AND($B38="Program",OR($W38&gt;0,$V38=0)),0,1)))))</f>
        <v/>
      </c>
      <c r="Z38" s="28">
        <f>IF($A38="",0,IF($C38="Portfolio",1,IF(AND($B38="Project",$C38&lt;&gt;"",$C38&lt;&gt;"Outside the portfolio"),IFERROR(IF(AND(INDEX($B$6:$B$305,MATCH($C38,$A$6:$A$305,0))="Program",INDEX($C$6:$C$305,MATCH($C38,$A$6:$A$305,0))="Portfolio"),1,0),0),0)))</f>
        <v/>
      </c>
      <c r="AA38" s="28">
        <f>IF(AND($A38&lt;&gt;"",$E38="",OR($Q38=1,$D38="Proposed")),1,0)</f>
        <v/>
      </c>
      <c r="AB38" s="28">
        <f>IF(AND($A38&lt;&gt;"",$B38="Program",$F38="",$Q38=1),1,0)</f>
        <v/>
      </c>
      <c r="AC38" s="28">
        <f>IF(OR($A38="",$D38="Completed",$D38="Terminated"),0,IF($C38="",1,IF($C38="Portfolio",0,IF($C38="Outside the portfolio",IF($Q38=1,2,0),IF($B38="Project",IF(IFERROR(INDEX($B$6:$B$305,MATCH($C38,$A$6:$A$305,0)),"")="Program",0,1),1)))))</f>
        <v/>
      </c>
      <c r="AD38" s="28">
        <f>IF(AND($A38&lt;&gt;"",OR($M38="■ Red",$M38="◧ Amber"),$L38=""),1,0)</f>
        <v/>
      </c>
      <c r="AE38" s="28">
        <f>$AA38+$AB38+IF($AC38&gt;0,1,0)+$AD38+$AG38+$AH38</f>
        <v/>
      </c>
      <c r="AF38" s="25" t="n"/>
      <c r="AG38" s="28">
        <f>IF(AND($A38&lt;&gt;"",$K38&lt;&gt;"",$C38&lt;&gt;"Portfolio",$D38&lt;&gt;"Completed",$D38&lt;&gt;"Terminated"),1,0)</f>
        <v/>
      </c>
      <c r="AH38" s="28">
        <f>IF(AND($A38&lt;&gt;"",COUNTIF($A$6:$A$305,$A38)&gt;1),1,0)</f>
        <v/>
      </c>
      <c r="AI38" s="28">
        <f>IF(AND($A38&lt;&gt;"",$C38="Portfolio"),COUNTIFS($C$6:$C38,"Portfolio",$A$6:$A38,"&lt;&gt;"),"")</f>
        <v/>
      </c>
    </row>
    <row r="39">
      <c r="A39" s="25" t="n"/>
      <c r="B39" s="25" t="n"/>
      <c r="C39" s="25" t="n"/>
      <c r="D39" s="25" t="n"/>
      <c r="E39" s="25" t="n"/>
      <c r="F39" s="25" t="n"/>
      <c r="G39" s="25" t="n"/>
      <c r="H39" s="26" t="n"/>
      <c r="I39" s="26" t="n"/>
      <c r="J39" s="27" t="n"/>
      <c r="K39" s="27" t="n"/>
      <c r="L39" s="23" t="n"/>
      <c r="M39" s="28">
        <f>IF($A39="","",IF($D39="","Not read",IF($Q39=0,"Not counted",IF(MAX($X39,$Y39)=3,"■ Red",IF(MAX($X39,$Y39)=2,"◧ Amber",IF(MAX($X39,$Y39)=1,"□ On track","Not read"))))))</f>
        <v/>
      </c>
      <c r="N39" s="28">
        <f>IF(OR($A39="",$B39&lt;&gt;"Program"),"","■ "&amp;COUNTIFS($C$6:$C$305,$A39,$M$6:$M$305,"■ Red")&amp;" Red, ◧ "&amp;COUNTIFS($C$6:$C$305,$A39,$M$6:$M$305,"◧ Amber")&amp;" Amber")</f>
        <v/>
      </c>
      <c r="O39" s="29">
        <f>IF(OR($A39="",$E39=""),"",COUNTIFS($E$6:$E$305,$E39,$D$6:$D$305,"Active")+COUNTIFS($E$6:$E$305,$E39,$D$6:$D$305,"Paused"))</f>
        <v/>
      </c>
      <c r="P39" s="28">
        <f>IF($A39="","",IF($AE39=0,"○ Clear",IF($AA39=1,"△ No owner",IF($AC39=1,"△ Check Sits under",IF($AC39=2,"△ Outside the portfolio",IF($AB39=1,"△ No sponsor",IF($AH39=1,"△ Name used twice",IF($AG39=1,"△ Budget only counts under Portfolio","△ No variance note"))))))&amp;IF($AE39&gt;1," (+"&amp;($AE39-1)&amp;" more)","")))</f>
        <v/>
      </c>
      <c r="Q39" s="28">
        <f>IF(AND($A39&lt;&gt;"",OR($D39="Active",$D39="Paused")),1,0)</f>
        <v/>
      </c>
      <c r="R39" s="28">
        <f>IFERROR(INDEX($A$6:$A$305,MATCH(32,$S$6:$S$305,0)),"")</f>
        <v/>
      </c>
      <c r="S39" s="28">
        <f>IF(AND($A39&lt;&gt;"",$B39="Program"),COUNTIFS($B$6:$B39,"Program",$A$6:$A39,"&lt;&gt;"),"")</f>
        <v/>
      </c>
      <c r="T39" s="30">
        <f>IF(AND($A39&lt;&gt;"",$B39="Program"),SUMPRODUCT(MAX(($C$6:$C$305=$A39)*($B$6:$B$305="Project")*($D$6:$D$305&lt;&gt;"Proposed")*$I$6:$I$305)),0)</f>
        <v/>
      </c>
      <c r="U39" s="30">
        <f>IF($I39&lt;&gt;"",$I39,IF($T39&gt;0,$T39,""))</f>
        <v/>
      </c>
      <c r="V39" s="28">
        <f>IF(AND($A39&lt;&gt;"",$B39="Program"),SUMIFS($J$6:$J$305,$C$6:$C$305,$A39,$B$6:$B$305,"Project",$D$6:$D$305,"&lt;&gt;Proposed"),0)</f>
        <v/>
      </c>
      <c r="W39" s="28">
        <f>IF(AND($A39&lt;&gt;"",$B39="Program"),COUNTIFS($C$6:$C$305,$A39,$B$6:$B$305,"Project",$D$6:$D$305,"&lt;&gt;Proposed")-COUNTIFS($C$6:$C$305,$A39,$B$6:$B$305,"Project",$D$6:$D$305,"&lt;&gt;Proposed",$J$6:$J$305,"&gt;=0"),0)</f>
        <v/>
      </c>
      <c r="X39" s="28">
        <f>IF(OR($Q39=0,$H39="",$AF39="Sprint"),0,IF(AND($B39="Project",$H39&lt;TODAY()),3,IF($U39="",0,IF($U39&lt;=$H39,1,IF(NETWORKDAYS($H39,$U39)-1&gt;IF($B39="Program",Checks!$B$7,Checks!$B$6),3,2)))))</f>
        <v/>
      </c>
      <c r="Y39" s="28">
        <f>IF(OR($Q39=0,$K39="",$K39=0,$AF39="Sprint"),0,IF(AND($B39="Project",$J39=""),0,IF(IF($B39="Program",$V39,$J39)&gt;$K39*(1+Checks!$B$8),3,IF(IF($B39="Program",$V39,$J39)&gt;$K39,2,IF(AND($B39="Program",OR($W39&gt;0,$V39=0)),0,1)))))</f>
        <v/>
      </c>
      <c r="Z39" s="28">
        <f>IF($A39="",0,IF($C39="Portfolio",1,IF(AND($B39="Project",$C39&lt;&gt;"",$C39&lt;&gt;"Outside the portfolio"),IFERROR(IF(AND(INDEX($B$6:$B$305,MATCH($C39,$A$6:$A$305,0))="Program",INDEX($C$6:$C$305,MATCH($C39,$A$6:$A$305,0))="Portfolio"),1,0),0),0)))</f>
        <v/>
      </c>
      <c r="AA39" s="28">
        <f>IF(AND($A39&lt;&gt;"",$E39="",OR($Q39=1,$D39="Proposed")),1,0)</f>
        <v/>
      </c>
      <c r="AB39" s="28">
        <f>IF(AND($A39&lt;&gt;"",$B39="Program",$F39="",$Q39=1),1,0)</f>
        <v/>
      </c>
      <c r="AC39" s="28">
        <f>IF(OR($A39="",$D39="Completed",$D39="Terminated"),0,IF($C39="",1,IF($C39="Portfolio",0,IF($C39="Outside the portfolio",IF($Q39=1,2,0),IF($B39="Project",IF(IFERROR(INDEX($B$6:$B$305,MATCH($C39,$A$6:$A$305,0)),"")="Program",0,1),1)))))</f>
        <v/>
      </c>
      <c r="AD39" s="28">
        <f>IF(AND($A39&lt;&gt;"",OR($M39="■ Red",$M39="◧ Amber"),$L39=""),1,0)</f>
        <v/>
      </c>
      <c r="AE39" s="28">
        <f>$AA39+$AB39+IF($AC39&gt;0,1,0)+$AD39+$AG39+$AH39</f>
        <v/>
      </c>
      <c r="AF39" s="25" t="n"/>
      <c r="AG39" s="28">
        <f>IF(AND($A39&lt;&gt;"",$K39&lt;&gt;"",$C39&lt;&gt;"Portfolio",$D39&lt;&gt;"Completed",$D39&lt;&gt;"Terminated"),1,0)</f>
        <v/>
      </c>
      <c r="AH39" s="28">
        <f>IF(AND($A39&lt;&gt;"",COUNTIF($A$6:$A$305,$A39)&gt;1),1,0)</f>
        <v/>
      </c>
      <c r="AI39" s="28">
        <f>IF(AND($A39&lt;&gt;"",$C39="Portfolio"),COUNTIFS($C$6:$C39,"Portfolio",$A$6:$A39,"&lt;&gt;"),"")</f>
        <v/>
      </c>
    </row>
    <row r="40">
      <c r="A40" s="25" t="n"/>
      <c r="B40" s="25" t="n"/>
      <c r="C40" s="25" t="n"/>
      <c r="D40" s="25" t="n"/>
      <c r="E40" s="25" t="n"/>
      <c r="F40" s="25" t="n"/>
      <c r="G40" s="25" t="n"/>
      <c r="H40" s="26" t="n"/>
      <c r="I40" s="26" t="n"/>
      <c r="J40" s="27" t="n"/>
      <c r="K40" s="27" t="n"/>
      <c r="L40" s="23" t="n"/>
      <c r="M40" s="28">
        <f>IF($A40="","",IF($D40="","Not read",IF($Q40=0,"Not counted",IF(MAX($X40,$Y40)=3,"■ Red",IF(MAX($X40,$Y40)=2,"◧ Amber",IF(MAX($X40,$Y40)=1,"□ On track","Not read"))))))</f>
        <v/>
      </c>
      <c r="N40" s="28">
        <f>IF(OR($A40="",$B40&lt;&gt;"Program"),"","■ "&amp;COUNTIFS($C$6:$C$305,$A40,$M$6:$M$305,"■ Red")&amp;" Red, ◧ "&amp;COUNTIFS($C$6:$C$305,$A40,$M$6:$M$305,"◧ Amber")&amp;" Amber")</f>
        <v/>
      </c>
      <c r="O40" s="29">
        <f>IF(OR($A40="",$E40=""),"",COUNTIFS($E$6:$E$305,$E40,$D$6:$D$305,"Active")+COUNTIFS($E$6:$E$305,$E40,$D$6:$D$305,"Paused"))</f>
        <v/>
      </c>
      <c r="P40" s="28">
        <f>IF($A40="","",IF($AE40=0,"○ Clear",IF($AA40=1,"△ No owner",IF($AC40=1,"△ Check Sits under",IF($AC40=2,"△ Outside the portfolio",IF($AB40=1,"△ No sponsor",IF($AH40=1,"△ Name used twice",IF($AG40=1,"△ Budget only counts under Portfolio","△ No variance note"))))))&amp;IF($AE40&gt;1," (+"&amp;($AE40-1)&amp;" more)","")))</f>
        <v/>
      </c>
      <c r="Q40" s="28">
        <f>IF(AND($A40&lt;&gt;"",OR($D40="Active",$D40="Paused")),1,0)</f>
        <v/>
      </c>
      <c r="R40" s="28">
        <f>IFERROR(INDEX($A$6:$A$305,MATCH(33,$S$6:$S$305,0)),"")</f>
        <v/>
      </c>
      <c r="S40" s="28">
        <f>IF(AND($A40&lt;&gt;"",$B40="Program"),COUNTIFS($B$6:$B40,"Program",$A$6:$A40,"&lt;&gt;"),"")</f>
        <v/>
      </c>
      <c r="T40" s="30">
        <f>IF(AND($A40&lt;&gt;"",$B40="Program"),SUMPRODUCT(MAX(($C$6:$C$305=$A40)*($B$6:$B$305="Project")*($D$6:$D$305&lt;&gt;"Proposed")*$I$6:$I$305)),0)</f>
        <v/>
      </c>
      <c r="U40" s="30">
        <f>IF($I40&lt;&gt;"",$I40,IF($T40&gt;0,$T40,""))</f>
        <v/>
      </c>
      <c r="V40" s="28">
        <f>IF(AND($A40&lt;&gt;"",$B40="Program"),SUMIFS($J$6:$J$305,$C$6:$C$305,$A40,$B$6:$B$305,"Project",$D$6:$D$305,"&lt;&gt;Proposed"),0)</f>
        <v/>
      </c>
      <c r="W40" s="28">
        <f>IF(AND($A40&lt;&gt;"",$B40="Program"),COUNTIFS($C$6:$C$305,$A40,$B$6:$B$305,"Project",$D$6:$D$305,"&lt;&gt;Proposed")-COUNTIFS($C$6:$C$305,$A40,$B$6:$B$305,"Project",$D$6:$D$305,"&lt;&gt;Proposed",$J$6:$J$305,"&gt;=0"),0)</f>
        <v/>
      </c>
      <c r="X40" s="28">
        <f>IF(OR($Q40=0,$H40="",$AF40="Sprint"),0,IF(AND($B40="Project",$H40&lt;TODAY()),3,IF($U40="",0,IF($U40&lt;=$H40,1,IF(NETWORKDAYS($H40,$U40)-1&gt;IF($B40="Program",Checks!$B$7,Checks!$B$6),3,2)))))</f>
        <v/>
      </c>
      <c r="Y40" s="28">
        <f>IF(OR($Q40=0,$K40="",$K40=0,$AF40="Sprint"),0,IF(AND($B40="Project",$J40=""),0,IF(IF($B40="Program",$V40,$J40)&gt;$K40*(1+Checks!$B$8),3,IF(IF($B40="Program",$V40,$J40)&gt;$K40,2,IF(AND($B40="Program",OR($W40&gt;0,$V40=0)),0,1)))))</f>
        <v/>
      </c>
      <c r="Z40" s="28">
        <f>IF($A40="",0,IF($C40="Portfolio",1,IF(AND($B40="Project",$C40&lt;&gt;"",$C40&lt;&gt;"Outside the portfolio"),IFERROR(IF(AND(INDEX($B$6:$B$305,MATCH($C40,$A$6:$A$305,0))="Program",INDEX($C$6:$C$305,MATCH($C40,$A$6:$A$305,0))="Portfolio"),1,0),0),0)))</f>
        <v/>
      </c>
      <c r="AA40" s="28">
        <f>IF(AND($A40&lt;&gt;"",$E40="",OR($Q40=1,$D40="Proposed")),1,0)</f>
        <v/>
      </c>
      <c r="AB40" s="28">
        <f>IF(AND($A40&lt;&gt;"",$B40="Program",$F40="",$Q40=1),1,0)</f>
        <v/>
      </c>
      <c r="AC40" s="28">
        <f>IF(OR($A40="",$D40="Completed",$D40="Terminated"),0,IF($C40="",1,IF($C40="Portfolio",0,IF($C40="Outside the portfolio",IF($Q40=1,2,0),IF($B40="Project",IF(IFERROR(INDEX($B$6:$B$305,MATCH($C40,$A$6:$A$305,0)),"")="Program",0,1),1)))))</f>
        <v/>
      </c>
      <c r="AD40" s="28">
        <f>IF(AND($A40&lt;&gt;"",OR($M40="■ Red",$M40="◧ Amber"),$L40=""),1,0)</f>
        <v/>
      </c>
      <c r="AE40" s="28">
        <f>$AA40+$AB40+IF($AC40&gt;0,1,0)+$AD40+$AG40+$AH40</f>
        <v/>
      </c>
      <c r="AF40" s="25" t="n"/>
      <c r="AG40" s="28">
        <f>IF(AND($A40&lt;&gt;"",$K40&lt;&gt;"",$C40&lt;&gt;"Portfolio",$D40&lt;&gt;"Completed",$D40&lt;&gt;"Terminated"),1,0)</f>
        <v/>
      </c>
      <c r="AH40" s="28">
        <f>IF(AND($A40&lt;&gt;"",COUNTIF($A$6:$A$305,$A40)&gt;1),1,0)</f>
        <v/>
      </c>
      <c r="AI40" s="28">
        <f>IF(AND($A40&lt;&gt;"",$C40="Portfolio"),COUNTIFS($C$6:$C40,"Portfolio",$A$6:$A40,"&lt;&gt;"),"")</f>
        <v/>
      </c>
    </row>
    <row r="41">
      <c r="A41" s="25" t="n"/>
      <c r="B41" s="25" t="n"/>
      <c r="C41" s="25" t="n"/>
      <c r="D41" s="25" t="n"/>
      <c r="E41" s="25" t="n"/>
      <c r="F41" s="25" t="n"/>
      <c r="G41" s="25" t="n"/>
      <c r="H41" s="26" t="n"/>
      <c r="I41" s="26" t="n"/>
      <c r="J41" s="27" t="n"/>
      <c r="K41" s="27" t="n"/>
      <c r="L41" s="23" t="n"/>
      <c r="M41" s="28">
        <f>IF($A41="","",IF($D41="","Not read",IF($Q41=0,"Not counted",IF(MAX($X41,$Y41)=3,"■ Red",IF(MAX($X41,$Y41)=2,"◧ Amber",IF(MAX($X41,$Y41)=1,"□ On track","Not read"))))))</f>
        <v/>
      </c>
      <c r="N41" s="28">
        <f>IF(OR($A41="",$B41&lt;&gt;"Program"),"","■ "&amp;COUNTIFS($C$6:$C$305,$A41,$M$6:$M$305,"■ Red")&amp;" Red, ◧ "&amp;COUNTIFS($C$6:$C$305,$A41,$M$6:$M$305,"◧ Amber")&amp;" Amber")</f>
        <v/>
      </c>
      <c r="O41" s="29">
        <f>IF(OR($A41="",$E41=""),"",COUNTIFS($E$6:$E$305,$E41,$D$6:$D$305,"Active")+COUNTIFS($E$6:$E$305,$E41,$D$6:$D$305,"Paused"))</f>
        <v/>
      </c>
      <c r="P41" s="28">
        <f>IF($A41="","",IF($AE41=0,"○ Clear",IF($AA41=1,"△ No owner",IF($AC41=1,"△ Check Sits under",IF($AC41=2,"△ Outside the portfolio",IF($AB41=1,"△ No sponsor",IF($AH41=1,"△ Name used twice",IF($AG41=1,"△ Budget only counts under Portfolio","△ No variance note"))))))&amp;IF($AE41&gt;1," (+"&amp;($AE41-1)&amp;" more)","")))</f>
        <v/>
      </c>
      <c r="Q41" s="28">
        <f>IF(AND($A41&lt;&gt;"",OR($D41="Active",$D41="Paused")),1,0)</f>
        <v/>
      </c>
      <c r="R41" s="28">
        <f>IFERROR(INDEX($A$6:$A$305,MATCH(34,$S$6:$S$305,0)),"")</f>
        <v/>
      </c>
      <c r="S41" s="28">
        <f>IF(AND($A41&lt;&gt;"",$B41="Program"),COUNTIFS($B$6:$B41,"Program",$A$6:$A41,"&lt;&gt;"),"")</f>
        <v/>
      </c>
      <c r="T41" s="30">
        <f>IF(AND($A41&lt;&gt;"",$B41="Program"),SUMPRODUCT(MAX(($C$6:$C$305=$A41)*($B$6:$B$305="Project")*($D$6:$D$305&lt;&gt;"Proposed")*$I$6:$I$305)),0)</f>
        <v/>
      </c>
      <c r="U41" s="30">
        <f>IF($I41&lt;&gt;"",$I41,IF($T41&gt;0,$T41,""))</f>
        <v/>
      </c>
      <c r="V41" s="28">
        <f>IF(AND($A41&lt;&gt;"",$B41="Program"),SUMIFS($J$6:$J$305,$C$6:$C$305,$A41,$B$6:$B$305,"Project",$D$6:$D$305,"&lt;&gt;Proposed"),0)</f>
        <v/>
      </c>
      <c r="W41" s="28">
        <f>IF(AND($A41&lt;&gt;"",$B41="Program"),COUNTIFS($C$6:$C$305,$A41,$B$6:$B$305,"Project",$D$6:$D$305,"&lt;&gt;Proposed")-COUNTIFS($C$6:$C$305,$A41,$B$6:$B$305,"Project",$D$6:$D$305,"&lt;&gt;Proposed",$J$6:$J$305,"&gt;=0"),0)</f>
        <v/>
      </c>
      <c r="X41" s="28">
        <f>IF(OR($Q41=0,$H41="",$AF41="Sprint"),0,IF(AND($B41="Project",$H41&lt;TODAY()),3,IF($U41="",0,IF($U41&lt;=$H41,1,IF(NETWORKDAYS($H41,$U41)-1&gt;IF($B41="Program",Checks!$B$7,Checks!$B$6),3,2)))))</f>
        <v/>
      </c>
      <c r="Y41" s="28">
        <f>IF(OR($Q41=0,$K41="",$K41=0,$AF41="Sprint"),0,IF(AND($B41="Project",$J41=""),0,IF(IF($B41="Program",$V41,$J41)&gt;$K41*(1+Checks!$B$8),3,IF(IF($B41="Program",$V41,$J41)&gt;$K41,2,IF(AND($B41="Program",OR($W41&gt;0,$V41=0)),0,1)))))</f>
        <v/>
      </c>
      <c r="Z41" s="28">
        <f>IF($A41="",0,IF($C41="Portfolio",1,IF(AND($B41="Project",$C41&lt;&gt;"",$C41&lt;&gt;"Outside the portfolio"),IFERROR(IF(AND(INDEX($B$6:$B$305,MATCH($C41,$A$6:$A$305,0))="Program",INDEX($C$6:$C$305,MATCH($C41,$A$6:$A$305,0))="Portfolio"),1,0),0),0)))</f>
        <v/>
      </c>
      <c r="AA41" s="28">
        <f>IF(AND($A41&lt;&gt;"",$E41="",OR($Q41=1,$D41="Proposed")),1,0)</f>
        <v/>
      </c>
      <c r="AB41" s="28">
        <f>IF(AND($A41&lt;&gt;"",$B41="Program",$F41="",$Q41=1),1,0)</f>
        <v/>
      </c>
      <c r="AC41" s="28">
        <f>IF(OR($A41="",$D41="Completed",$D41="Terminated"),0,IF($C41="",1,IF($C41="Portfolio",0,IF($C41="Outside the portfolio",IF($Q41=1,2,0),IF($B41="Project",IF(IFERROR(INDEX($B$6:$B$305,MATCH($C41,$A$6:$A$305,0)),"")="Program",0,1),1)))))</f>
        <v/>
      </c>
      <c r="AD41" s="28">
        <f>IF(AND($A41&lt;&gt;"",OR($M41="■ Red",$M41="◧ Amber"),$L41=""),1,0)</f>
        <v/>
      </c>
      <c r="AE41" s="28">
        <f>$AA41+$AB41+IF($AC41&gt;0,1,0)+$AD41+$AG41+$AH41</f>
        <v/>
      </c>
      <c r="AF41" s="25" t="n"/>
      <c r="AG41" s="28">
        <f>IF(AND($A41&lt;&gt;"",$K41&lt;&gt;"",$C41&lt;&gt;"Portfolio",$D41&lt;&gt;"Completed",$D41&lt;&gt;"Terminated"),1,0)</f>
        <v/>
      </c>
      <c r="AH41" s="28">
        <f>IF(AND($A41&lt;&gt;"",COUNTIF($A$6:$A$305,$A41)&gt;1),1,0)</f>
        <v/>
      </c>
      <c r="AI41" s="28">
        <f>IF(AND($A41&lt;&gt;"",$C41="Portfolio"),COUNTIFS($C$6:$C41,"Portfolio",$A$6:$A41,"&lt;&gt;"),"")</f>
        <v/>
      </c>
    </row>
    <row r="42">
      <c r="A42" s="25" t="n"/>
      <c r="B42" s="25" t="n"/>
      <c r="C42" s="25" t="n"/>
      <c r="D42" s="25" t="n"/>
      <c r="E42" s="25" t="n"/>
      <c r="F42" s="25" t="n"/>
      <c r="G42" s="25" t="n"/>
      <c r="H42" s="26" t="n"/>
      <c r="I42" s="26" t="n"/>
      <c r="J42" s="27" t="n"/>
      <c r="K42" s="27" t="n"/>
      <c r="L42" s="23" t="n"/>
      <c r="M42" s="28">
        <f>IF($A42="","",IF($D42="","Not read",IF($Q42=0,"Not counted",IF(MAX($X42,$Y42)=3,"■ Red",IF(MAX($X42,$Y42)=2,"◧ Amber",IF(MAX($X42,$Y42)=1,"□ On track","Not read"))))))</f>
        <v/>
      </c>
      <c r="N42" s="28">
        <f>IF(OR($A42="",$B42&lt;&gt;"Program"),"","■ "&amp;COUNTIFS($C$6:$C$305,$A42,$M$6:$M$305,"■ Red")&amp;" Red, ◧ "&amp;COUNTIFS($C$6:$C$305,$A42,$M$6:$M$305,"◧ Amber")&amp;" Amber")</f>
        <v/>
      </c>
      <c r="O42" s="29">
        <f>IF(OR($A42="",$E42=""),"",COUNTIFS($E$6:$E$305,$E42,$D$6:$D$305,"Active")+COUNTIFS($E$6:$E$305,$E42,$D$6:$D$305,"Paused"))</f>
        <v/>
      </c>
      <c r="P42" s="28">
        <f>IF($A42="","",IF($AE42=0,"○ Clear",IF($AA42=1,"△ No owner",IF($AC42=1,"△ Check Sits under",IF($AC42=2,"△ Outside the portfolio",IF($AB42=1,"△ No sponsor",IF($AH42=1,"△ Name used twice",IF($AG42=1,"△ Budget only counts under Portfolio","△ No variance note"))))))&amp;IF($AE42&gt;1," (+"&amp;($AE42-1)&amp;" more)","")))</f>
        <v/>
      </c>
      <c r="Q42" s="28">
        <f>IF(AND($A42&lt;&gt;"",OR($D42="Active",$D42="Paused")),1,0)</f>
        <v/>
      </c>
      <c r="R42" s="28">
        <f>IFERROR(INDEX($A$6:$A$305,MATCH(35,$S$6:$S$305,0)),"")</f>
        <v/>
      </c>
      <c r="S42" s="28">
        <f>IF(AND($A42&lt;&gt;"",$B42="Program"),COUNTIFS($B$6:$B42,"Program",$A$6:$A42,"&lt;&gt;"),"")</f>
        <v/>
      </c>
      <c r="T42" s="30">
        <f>IF(AND($A42&lt;&gt;"",$B42="Program"),SUMPRODUCT(MAX(($C$6:$C$305=$A42)*($B$6:$B$305="Project")*($D$6:$D$305&lt;&gt;"Proposed")*$I$6:$I$305)),0)</f>
        <v/>
      </c>
      <c r="U42" s="30">
        <f>IF($I42&lt;&gt;"",$I42,IF($T42&gt;0,$T42,""))</f>
        <v/>
      </c>
      <c r="V42" s="28">
        <f>IF(AND($A42&lt;&gt;"",$B42="Program"),SUMIFS($J$6:$J$305,$C$6:$C$305,$A42,$B$6:$B$305,"Project",$D$6:$D$305,"&lt;&gt;Proposed"),0)</f>
        <v/>
      </c>
      <c r="W42" s="28">
        <f>IF(AND($A42&lt;&gt;"",$B42="Program"),COUNTIFS($C$6:$C$305,$A42,$B$6:$B$305,"Project",$D$6:$D$305,"&lt;&gt;Proposed")-COUNTIFS($C$6:$C$305,$A42,$B$6:$B$305,"Project",$D$6:$D$305,"&lt;&gt;Proposed",$J$6:$J$305,"&gt;=0"),0)</f>
        <v/>
      </c>
      <c r="X42" s="28">
        <f>IF(OR($Q42=0,$H42="",$AF42="Sprint"),0,IF(AND($B42="Project",$H42&lt;TODAY()),3,IF($U42="",0,IF($U42&lt;=$H42,1,IF(NETWORKDAYS($H42,$U42)-1&gt;IF($B42="Program",Checks!$B$7,Checks!$B$6),3,2)))))</f>
        <v/>
      </c>
      <c r="Y42" s="28">
        <f>IF(OR($Q42=0,$K42="",$K42=0,$AF42="Sprint"),0,IF(AND($B42="Project",$J42=""),0,IF(IF($B42="Program",$V42,$J42)&gt;$K42*(1+Checks!$B$8),3,IF(IF($B42="Program",$V42,$J42)&gt;$K42,2,IF(AND($B42="Program",OR($W42&gt;0,$V42=0)),0,1)))))</f>
        <v/>
      </c>
      <c r="Z42" s="28">
        <f>IF($A42="",0,IF($C42="Portfolio",1,IF(AND($B42="Project",$C42&lt;&gt;"",$C42&lt;&gt;"Outside the portfolio"),IFERROR(IF(AND(INDEX($B$6:$B$305,MATCH($C42,$A$6:$A$305,0))="Program",INDEX($C$6:$C$305,MATCH($C42,$A$6:$A$305,0))="Portfolio"),1,0),0),0)))</f>
        <v/>
      </c>
      <c r="AA42" s="28">
        <f>IF(AND($A42&lt;&gt;"",$E42="",OR($Q42=1,$D42="Proposed")),1,0)</f>
        <v/>
      </c>
      <c r="AB42" s="28">
        <f>IF(AND($A42&lt;&gt;"",$B42="Program",$F42="",$Q42=1),1,0)</f>
        <v/>
      </c>
      <c r="AC42" s="28">
        <f>IF(OR($A42="",$D42="Completed",$D42="Terminated"),0,IF($C42="",1,IF($C42="Portfolio",0,IF($C42="Outside the portfolio",IF($Q42=1,2,0),IF($B42="Project",IF(IFERROR(INDEX($B$6:$B$305,MATCH($C42,$A$6:$A$305,0)),"")="Program",0,1),1)))))</f>
        <v/>
      </c>
      <c r="AD42" s="28">
        <f>IF(AND($A42&lt;&gt;"",OR($M42="■ Red",$M42="◧ Amber"),$L42=""),1,0)</f>
        <v/>
      </c>
      <c r="AE42" s="28">
        <f>$AA42+$AB42+IF($AC42&gt;0,1,0)+$AD42+$AG42+$AH42</f>
        <v/>
      </c>
      <c r="AF42" s="25" t="n"/>
      <c r="AG42" s="28">
        <f>IF(AND($A42&lt;&gt;"",$K42&lt;&gt;"",$C42&lt;&gt;"Portfolio",$D42&lt;&gt;"Completed",$D42&lt;&gt;"Terminated"),1,0)</f>
        <v/>
      </c>
      <c r="AH42" s="28">
        <f>IF(AND($A42&lt;&gt;"",COUNTIF($A$6:$A$305,$A42)&gt;1),1,0)</f>
        <v/>
      </c>
      <c r="AI42" s="28">
        <f>IF(AND($A42&lt;&gt;"",$C42="Portfolio"),COUNTIFS($C$6:$C42,"Portfolio",$A$6:$A42,"&lt;&gt;"),"")</f>
        <v/>
      </c>
    </row>
    <row r="43">
      <c r="A43" s="25" t="n"/>
      <c r="B43" s="25" t="n"/>
      <c r="C43" s="25" t="n"/>
      <c r="D43" s="25" t="n"/>
      <c r="E43" s="25" t="n"/>
      <c r="F43" s="25" t="n"/>
      <c r="G43" s="25" t="n"/>
      <c r="H43" s="26" t="n"/>
      <c r="I43" s="26" t="n"/>
      <c r="J43" s="27" t="n"/>
      <c r="K43" s="27" t="n"/>
      <c r="L43" s="23" t="n"/>
      <c r="M43" s="28">
        <f>IF($A43="","",IF($D43="","Not read",IF($Q43=0,"Not counted",IF(MAX($X43,$Y43)=3,"■ Red",IF(MAX($X43,$Y43)=2,"◧ Amber",IF(MAX($X43,$Y43)=1,"□ On track","Not read"))))))</f>
        <v/>
      </c>
      <c r="N43" s="28">
        <f>IF(OR($A43="",$B43&lt;&gt;"Program"),"","■ "&amp;COUNTIFS($C$6:$C$305,$A43,$M$6:$M$305,"■ Red")&amp;" Red, ◧ "&amp;COUNTIFS($C$6:$C$305,$A43,$M$6:$M$305,"◧ Amber")&amp;" Amber")</f>
        <v/>
      </c>
      <c r="O43" s="29">
        <f>IF(OR($A43="",$E43=""),"",COUNTIFS($E$6:$E$305,$E43,$D$6:$D$305,"Active")+COUNTIFS($E$6:$E$305,$E43,$D$6:$D$305,"Paused"))</f>
        <v/>
      </c>
      <c r="P43" s="28">
        <f>IF($A43="","",IF($AE43=0,"○ Clear",IF($AA43=1,"△ No owner",IF($AC43=1,"△ Check Sits under",IF($AC43=2,"△ Outside the portfolio",IF($AB43=1,"△ No sponsor",IF($AH43=1,"△ Name used twice",IF($AG43=1,"△ Budget only counts under Portfolio","△ No variance note"))))))&amp;IF($AE43&gt;1," (+"&amp;($AE43-1)&amp;" more)","")))</f>
        <v/>
      </c>
      <c r="Q43" s="28">
        <f>IF(AND($A43&lt;&gt;"",OR($D43="Active",$D43="Paused")),1,0)</f>
        <v/>
      </c>
      <c r="R43" s="28">
        <f>IFERROR(INDEX($A$6:$A$305,MATCH(36,$S$6:$S$305,0)),"")</f>
        <v/>
      </c>
      <c r="S43" s="28">
        <f>IF(AND($A43&lt;&gt;"",$B43="Program"),COUNTIFS($B$6:$B43,"Program",$A$6:$A43,"&lt;&gt;"),"")</f>
        <v/>
      </c>
      <c r="T43" s="30">
        <f>IF(AND($A43&lt;&gt;"",$B43="Program"),SUMPRODUCT(MAX(($C$6:$C$305=$A43)*($B$6:$B$305="Project")*($D$6:$D$305&lt;&gt;"Proposed")*$I$6:$I$305)),0)</f>
        <v/>
      </c>
      <c r="U43" s="30">
        <f>IF($I43&lt;&gt;"",$I43,IF($T43&gt;0,$T43,""))</f>
        <v/>
      </c>
      <c r="V43" s="28">
        <f>IF(AND($A43&lt;&gt;"",$B43="Program"),SUMIFS($J$6:$J$305,$C$6:$C$305,$A43,$B$6:$B$305,"Project",$D$6:$D$305,"&lt;&gt;Proposed"),0)</f>
        <v/>
      </c>
      <c r="W43" s="28">
        <f>IF(AND($A43&lt;&gt;"",$B43="Program"),COUNTIFS($C$6:$C$305,$A43,$B$6:$B$305,"Project",$D$6:$D$305,"&lt;&gt;Proposed")-COUNTIFS($C$6:$C$305,$A43,$B$6:$B$305,"Project",$D$6:$D$305,"&lt;&gt;Proposed",$J$6:$J$305,"&gt;=0"),0)</f>
        <v/>
      </c>
      <c r="X43" s="28">
        <f>IF(OR($Q43=0,$H43="",$AF43="Sprint"),0,IF(AND($B43="Project",$H43&lt;TODAY()),3,IF($U43="",0,IF($U43&lt;=$H43,1,IF(NETWORKDAYS($H43,$U43)-1&gt;IF($B43="Program",Checks!$B$7,Checks!$B$6),3,2)))))</f>
        <v/>
      </c>
      <c r="Y43" s="28">
        <f>IF(OR($Q43=0,$K43="",$K43=0,$AF43="Sprint"),0,IF(AND($B43="Project",$J43=""),0,IF(IF($B43="Program",$V43,$J43)&gt;$K43*(1+Checks!$B$8),3,IF(IF($B43="Program",$V43,$J43)&gt;$K43,2,IF(AND($B43="Program",OR($W43&gt;0,$V43=0)),0,1)))))</f>
        <v/>
      </c>
      <c r="Z43" s="28">
        <f>IF($A43="",0,IF($C43="Portfolio",1,IF(AND($B43="Project",$C43&lt;&gt;"",$C43&lt;&gt;"Outside the portfolio"),IFERROR(IF(AND(INDEX($B$6:$B$305,MATCH($C43,$A$6:$A$305,0))="Program",INDEX($C$6:$C$305,MATCH($C43,$A$6:$A$305,0))="Portfolio"),1,0),0),0)))</f>
        <v/>
      </c>
      <c r="AA43" s="28">
        <f>IF(AND($A43&lt;&gt;"",$E43="",OR($Q43=1,$D43="Proposed")),1,0)</f>
        <v/>
      </c>
      <c r="AB43" s="28">
        <f>IF(AND($A43&lt;&gt;"",$B43="Program",$F43="",$Q43=1),1,0)</f>
        <v/>
      </c>
      <c r="AC43" s="28">
        <f>IF(OR($A43="",$D43="Completed",$D43="Terminated"),0,IF($C43="",1,IF($C43="Portfolio",0,IF($C43="Outside the portfolio",IF($Q43=1,2,0),IF($B43="Project",IF(IFERROR(INDEX($B$6:$B$305,MATCH($C43,$A$6:$A$305,0)),"")="Program",0,1),1)))))</f>
        <v/>
      </c>
      <c r="AD43" s="28">
        <f>IF(AND($A43&lt;&gt;"",OR($M43="■ Red",$M43="◧ Amber"),$L43=""),1,0)</f>
        <v/>
      </c>
      <c r="AE43" s="28">
        <f>$AA43+$AB43+IF($AC43&gt;0,1,0)+$AD43+$AG43+$AH43</f>
        <v/>
      </c>
      <c r="AF43" s="25" t="n"/>
      <c r="AG43" s="28">
        <f>IF(AND($A43&lt;&gt;"",$K43&lt;&gt;"",$C43&lt;&gt;"Portfolio",$D43&lt;&gt;"Completed",$D43&lt;&gt;"Terminated"),1,0)</f>
        <v/>
      </c>
      <c r="AH43" s="28">
        <f>IF(AND($A43&lt;&gt;"",COUNTIF($A$6:$A$305,$A43)&gt;1),1,0)</f>
        <v/>
      </c>
      <c r="AI43" s="28">
        <f>IF(AND($A43&lt;&gt;"",$C43="Portfolio"),COUNTIFS($C$6:$C43,"Portfolio",$A$6:$A43,"&lt;&gt;"),"")</f>
        <v/>
      </c>
    </row>
    <row r="44">
      <c r="A44" s="25" t="n"/>
      <c r="B44" s="25" t="n"/>
      <c r="C44" s="25" t="n"/>
      <c r="D44" s="25" t="n"/>
      <c r="E44" s="25" t="n"/>
      <c r="F44" s="25" t="n"/>
      <c r="G44" s="25" t="n"/>
      <c r="H44" s="26" t="n"/>
      <c r="I44" s="26" t="n"/>
      <c r="J44" s="27" t="n"/>
      <c r="K44" s="27" t="n"/>
      <c r="L44" s="23" t="n"/>
      <c r="M44" s="28">
        <f>IF($A44="","",IF($D44="","Not read",IF($Q44=0,"Not counted",IF(MAX($X44,$Y44)=3,"■ Red",IF(MAX($X44,$Y44)=2,"◧ Amber",IF(MAX($X44,$Y44)=1,"□ On track","Not read"))))))</f>
        <v/>
      </c>
      <c r="N44" s="28">
        <f>IF(OR($A44="",$B44&lt;&gt;"Program"),"","■ "&amp;COUNTIFS($C$6:$C$305,$A44,$M$6:$M$305,"■ Red")&amp;" Red, ◧ "&amp;COUNTIFS($C$6:$C$305,$A44,$M$6:$M$305,"◧ Amber")&amp;" Amber")</f>
        <v/>
      </c>
      <c r="O44" s="29">
        <f>IF(OR($A44="",$E44=""),"",COUNTIFS($E$6:$E$305,$E44,$D$6:$D$305,"Active")+COUNTIFS($E$6:$E$305,$E44,$D$6:$D$305,"Paused"))</f>
        <v/>
      </c>
      <c r="P44" s="28">
        <f>IF($A44="","",IF($AE44=0,"○ Clear",IF($AA44=1,"△ No owner",IF($AC44=1,"△ Check Sits under",IF($AC44=2,"△ Outside the portfolio",IF($AB44=1,"△ No sponsor",IF($AH44=1,"△ Name used twice",IF($AG44=1,"△ Budget only counts under Portfolio","△ No variance note"))))))&amp;IF($AE44&gt;1," (+"&amp;($AE44-1)&amp;" more)","")))</f>
        <v/>
      </c>
      <c r="Q44" s="28">
        <f>IF(AND($A44&lt;&gt;"",OR($D44="Active",$D44="Paused")),1,0)</f>
        <v/>
      </c>
      <c r="R44" s="28">
        <f>IFERROR(INDEX($A$6:$A$305,MATCH(37,$S$6:$S$305,0)),"")</f>
        <v/>
      </c>
      <c r="S44" s="28">
        <f>IF(AND($A44&lt;&gt;"",$B44="Program"),COUNTIFS($B$6:$B44,"Program",$A$6:$A44,"&lt;&gt;"),"")</f>
        <v/>
      </c>
      <c r="T44" s="30">
        <f>IF(AND($A44&lt;&gt;"",$B44="Program"),SUMPRODUCT(MAX(($C$6:$C$305=$A44)*($B$6:$B$305="Project")*($D$6:$D$305&lt;&gt;"Proposed")*$I$6:$I$305)),0)</f>
        <v/>
      </c>
      <c r="U44" s="30">
        <f>IF($I44&lt;&gt;"",$I44,IF($T44&gt;0,$T44,""))</f>
        <v/>
      </c>
      <c r="V44" s="28">
        <f>IF(AND($A44&lt;&gt;"",$B44="Program"),SUMIFS($J$6:$J$305,$C$6:$C$305,$A44,$B$6:$B$305,"Project",$D$6:$D$305,"&lt;&gt;Proposed"),0)</f>
        <v/>
      </c>
      <c r="W44" s="28">
        <f>IF(AND($A44&lt;&gt;"",$B44="Program"),COUNTIFS($C$6:$C$305,$A44,$B$6:$B$305,"Project",$D$6:$D$305,"&lt;&gt;Proposed")-COUNTIFS($C$6:$C$305,$A44,$B$6:$B$305,"Project",$D$6:$D$305,"&lt;&gt;Proposed",$J$6:$J$305,"&gt;=0"),0)</f>
        <v/>
      </c>
      <c r="X44" s="28">
        <f>IF(OR($Q44=0,$H44="",$AF44="Sprint"),0,IF(AND($B44="Project",$H44&lt;TODAY()),3,IF($U44="",0,IF($U44&lt;=$H44,1,IF(NETWORKDAYS($H44,$U44)-1&gt;IF($B44="Program",Checks!$B$7,Checks!$B$6),3,2)))))</f>
        <v/>
      </c>
      <c r="Y44" s="28">
        <f>IF(OR($Q44=0,$K44="",$K44=0,$AF44="Sprint"),0,IF(AND($B44="Project",$J44=""),0,IF(IF($B44="Program",$V44,$J44)&gt;$K44*(1+Checks!$B$8),3,IF(IF($B44="Program",$V44,$J44)&gt;$K44,2,IF(AND($B44="Program",OR($W44&gt;0,$V44=0)),0,1)))))</f>
        <v/>
      </c>
      <c r="Z44" s="28">
        <f>IF($A44="",0,IF($C44="Portfolio",1,IF(AND($B44="Project",$C44&lt;&gt;"",$C44&lt;&gt;"Outside the portfolio"),IFERROR(IF(AND(INDEX($B$6:$B$305,MATCH($C44,$A$6:$A$305,0))="Program",INDEX($C$6:$C$305,MATCH($C44,$A$6:$A$305,0))="Portfolio"),1,0),0),0)))</f>
        <v/>
      </c>
      <c r="AA44" s="28">
        <f>IF(AND($A44&lt;&gt;"",$E44="",OR($Q44=1,$D44="Proposed")),1,0)</f>
        <v/>
      </c>
      <c r="AB44" s="28">
        <f>IF(AND($A44&lt;&gt;"",$B44="Program",$F44="",$Q44=1),1,0)</f>
        <v/>
      </c>
      <c r="AC44" s="28">
        <f>IF(OR($A44="",$D44="Completed",$D44="Terminated"),0,IF($C44="",1,IF($C44="Portfolio",0,IF($C44="Outside the portfolio",IF($Q44=1,2,0),IF($B44="Project",IF(IFERROR(INDEX($B$6:$B$305,MATCH($C44,$A$6:$A$305,0)),"")="Program",0,1),1)))))</f>
        <v/>
      </c>
      <c r="AD44" s="28">
        <f>IF(AND($A44&lt;&gt;"",OR($M44="■ Red",$M44="◧ Amber"),$L44=""),1,0)</f>
        <v/>
      </c>
      <c r="AE44" s="28">
        <f>$AA44+$AB44+IF($AC44&gt;0,1,0)+$AD44+$AG44+$AH44</f>
        <v/>
      </c>
      <c r="AF44" s="25" t="n"/>
      <c r="AG44" s="28">
        <f>IF(AND($A44&lt;&gt;"",$K44&lt;&gt;"",$C44&lt;&gt;"Portfolio",$D44&lt;&gt;"Completed",$D44&lt;&gt;"Terminated"),1,0)</f>
        <v/>
      </c>
      <c r="AH44" s="28">
        <f>IF(AND($A44&lt;&gt;"",COUNTIF($A$6:$A$305,$A44)&gt;1),1,0)</f>
        <v/>
      </c>
      <c r="AI44" s="28">
        <f>IF(AND($A44&lt;&gt;"",$C44="Portfolio"),COUNTIFS($C$6:$C44,"Portfolio",$A$6:$A44,"&lt;&gt;"),"")</f>
        <v/>
      </c>
    </row>
    <row r="45">
      <c r="A45" s="25" t="n"/>
      <c r="B45" s="25" t="n"/>
      <c r="C45" s="25" t="n"/>
      <c r="D45" s="25" t="n"/>
      <c r="E45" s="25" t="n"/>
      <c r="F45" s="25" t="n"/>
      <c r="G45" s="25" t="n"/>
      <c r="H45" s="26" t="n"/>
      <c r="I45" s="26" t="n"/>
      <c r="J45" s="27" t="n"/>
      <c r="K45" s="27" t="n"/>
      <c r="L45" s="23" t="n"/>
      <c r="M45" s="28">
        <f>IF($A45="","",IF($D45="","Not read",IF($Q45=0,"Not counted",IF(MAX($X45,$Y45)=3,"■ Red",IF(MAX($X45,$Y45)=2,"◧ Amber",IF(MAX($X45,$Y45)=1,"□ On track","Not read"))))))</f>
        <v/>
      </c>
      <c r="N45" s="28">
        <f>IF(OR($A45="",$B45&lt;&gt;"Program"),"","■ "&amp;COUNTIFS($C$6:$C$305,$A45,$M$6:$M$305,"■ Red")&amp;" Red, ◧ "&amp;COUNTIFS($C$6:$C$305,$A45,$M$6:$M$305,"◧ Amber")&amp;" Amber")</f>
        <v/>
      </c>
      <c r="O45" s="29">
        <f>IF(OR($A45="",$E45=""),"",COUNTIFS($E$6:$E$305,$E45,$D$6:$D$305,"Active")+COUNTIFS($E$6:$E$305,$E45,$D$6:$D$305,"Paused"))</f>
        <v/>
      </c>
      <c r="P45" s="28">
        <f>IF($A45="","",IF($AE45=0,"○ Clear",IF($AA45=1,"△ No owner",IF($AC45=1,"△ Check Sits under",IF($AC45=2,"△ Outside the portfolio",IF($AB45=1,"△ No sponsor",IF($AH45=1,"△ Name used twice",IF($AG45=1,"△ Budget only counts under Portfolio","△ No variance note"))))))&amp;IF($AE45&gt;1," (+"&amp;($AE45-1)&amp;" more)","")))</f>
        <v/>
      </c>
      <c r="Q45" s="28">
        <f>IF(AND($A45&lt;&gt;"",OR($D45="Active",$D45="Paused")),1,0)</f>
        <v/>
      </c>
      <c r="R45" s="28">
        <f>IFERROR(INDEX($A$6:$A$305,MATCH(38,$S$6:$S$305,0)),"")</f>
        <v/>
      </c>
      <c r="S45" s="28">
        <f>IF(AND($A45&lt;&gt;"",$B45="Program"),COUNTIFS($B$6:$B45,"Program",$A$6:$A45,"&lt;&gt;"),"")</f>
        <v/>
      </c>
      <c r="T45" s="30">
        <f>IF(AND($A45&lt;&gt;"",$B45="Program"),SUMPRODUCT(MAX(($C$6:$C$305=$A45)*($B$6:$B$305="Project")*($D$6:$D$305&lt;&gt;"Proposed")*$I$6:$I$305)),0)</f>
        <v/>
      </c>
      <c r="U45" s="30">
        <f>IF($I45&lt;&gt;"",$I45,IF($T45&gt;0,$T45,""))</f>
        <v/>
      </c>
      <c r="V45" s="28">
        <f>IF(AND($A45&lt;&gt;"",$B45="Program"),SUMIFS($J$6:$J$305,$C$6:$C$305,$A45,$B$6:$B$305,"Project",$D$6:$D$305,"&lt;&gt;Proposed"),0)</f>
        <v/>
      </c>
      <c r="W45" s="28">
        <f>IF(AND($A45&lt;&gt;"",$B45="Program"),COUNTIFS($C$6:$C$305,$A45,$B$6:$B$305,"Project",$D$6:$D$305,"&lt;&gt;Proposed")-COUNTIFS($C$6:$C$305,$A45,$B$6:$B$305,"Project",$D$6:$D$305,"&lt;&gt;Proposed",$J$6:$J$305,"&gt;=0"),0)</f>
        <v/>
      </c>
      <c r="X45" s="28">
        <f>IF(OR($Q45=0,$H45="",$AF45="Sprint"),0,IF(AND($B45="Project",$H45&lt;TODAY()),3,IF($U45="",0,IF($U45&lt;=$H45,1,IF(NETWORKDAYS($H45,$U45)-1&gt;IF($B45="Program",Checks!$B$7,Checks!$B$6),3,2)))))</f>
        <v/>
      </c>
      <c r="Y45" s="28">
        <f>IF(OR($Q45=0,$K45="",$K45=0,$AF45="Sprint"),0,IF(AND($B45="Project",$J45=""),0,IF(IF($B45="Program",$V45,$J45)&gt;$K45*(1+Checks!$B$8),3,IF(IF($B45="Program",$V45,$J45)&gt;$K45,2,IF(AND($B45="Program",OR($W45&gt;0,$V45=0)),0,1)))))</f>
        <v/>
      </c>
      <c r="Z45" s="28">
        <f>IF($A45="",0,IF($C45="Portfolio",1,IF(AND($B45="Project",$C45&lt;&gt;"",$C45&lt;&gt;"Outside the portfolio"),IFERROR(IF(AND(INDEX($B$6:$B$305,MATCH($C45,$A$6:$A$305,0))="Program",INDEX($C$6:$C$305,MATCH($C45,$A$6:$A$305,0))="Portfolio"),1,0),0),0)))</f>
        <v/>
      </c>
      <c r="AA45" s="28">
        <f>IF(AND($A45&lt;&gt;"",$E45="",OR($Q45=1,$D45="Proposed")),1,0)</f>
        <v/>
      </c>
      <c r="AB45" s="28">
        <f>IF(AND($A45&lt;&gt;"",$B45="Program",$F45="",$Q45=1),1,0)</f>
        <v/>
      </c>
      <c r="AC45" s="28">
        <f>IF(OR($A45="",$D45="Completed",$D45="Terminated"),0,IF($C45="",1,IF($C45="Portfolio",0,IF($C45="Outside the portfolio",IF($Q45=1,2,0),IF($B45="Project",IF(IFERROR(INDEX($B$6:$B$305,MATCH($C45,$A$6:$A$305,0)),"")="Program",0,1),1)))))</f>
        <v/>
      </c>
      <c r="AD45" s="28">
        <f>IF(AND($A45&lt;&gt;"",OR($M45="■ Red",$M45="◧ Amber"),$L45=""),1,0)</f>
        <v/>
      </c>
      <c r="AE45" s="28">
        <f>$AA45+$AB45+IF($AC45&gt;0,1,0)+$AD45+$AG45+$AH45</f>
        <v/>
      </c>
      <c r="AF45" s="25" t="n"/>
      <c r="AG45" s="28">
        <f>IF(AND($A45&lt;&gt;"",$K45&lt;&gt;"",$C45&lt;&gt;"Portfolio",$D45&lt;&gt;"Completed",$D45&lt;&gt;"Terminated"),1,0)</f>
        <v/>
      </c>
      <c r="AH45" s="28">
        <f>IF(AND($A45&lt;&gt;"",COUNTIF($A$6:$A$305,$A45)&gt;1),1,0)</f>
        <v/>
      </c>
      <c r="AI45" s="28">
        <f>IF(AND($A45&lt;&gt;"",$C45="Portfolio"),COUNTIFS($C$6:$C45,"Portfolio",$A$6:$A45,"&lt;&gt;"),"")</f>
        <v/>
      </c>
    </row>
    <row r="46">
      <c r="A46" s="25" t="n"/>
      <c r="B46" s="25" t="n"/>
      <c r="C46" s="25" t="n"/>
      <c r="D46" s="25" t="n"/>
      <c r="E46" s="25" t="n"/>
      <c r="F46" s="25" t="n"/>
      <c r="G46" s="25" t="n"/>
      <c r="H46" s="26" t="n"/>
      <c r="I46" s="26" t="n"/>
      <c r="J46" s="27" t="n"/>
      <c r="K46" s="27" t="n"/>
      <c r="L46" s="23" t="n"/>
      <c r="M46" s="28">
        <f>IF($A46="","",IF($D46="","Not read",IF($Q46=0,"Not counted",IF(MAX($X46,$Y46)=3,"■ Red",IF(MAX($X46,$Y46)=2,"◧ Amber",IF(MAX($X46,$Y46)=1,"□ On track","Not read"))))))</f>
        <v/>
      </c>
      <c r="N46" s="28">
        <f>IF(OR($A46="",$B46&lt;&gt;"Program"),"","■ "&amp;COUNTIFS($C$6:$C$305,$A46,$M$6:$M$305,"■ Red")&amp;" Red, ◧ "&amp;COUNTIFS($C$6:$C$305,$A46,$M$6:$M$305,"◧ Amber")&amp;" Amber")</f>
        <v/>
      </c>
      <c r="O46" s="29">
        <f>IF(OR($A46="",$E46=""),"",COUNTIFS($E$6:$E$305,$E46,$D$6:$D$305,"Active")+COUNTIFS($E$6:$E$305,$E46,$D$6:$D$305,"Paused"))</f>
        <v/>
      </c>
      <c r="P46" s="28">
        <f>IF($A46="","",IF($AE46=0,"○ Clear",IF($AA46=1,"△ No owner",IF($AC46=1,"△ Check Sits under",IF($AC46=2,"△ Outside the portfolio",IF($AB46=1,"△ No sponsor",IF($AH46=1,"△ Name used twice",IF($AG46=1,"△ Budget only counts under Portfolio","△ No variance note"))))))&amp;IF($AE46&gt;1," (+"&amp;($AE46-1)&amp;" more)","")))</f>
        <v/>
      </c>
      <c r="Q46" s="28">
        <f>IF(AND($A46&lt;&gt;"",OR($D46="Active",$D46="Paused")),1,0)</f>
        <v/>
      </c>
      <c r="R46" s="28">
        <f>IFERROR(INDEX($A$6:$A$305,MATCH(39,$S$6:$S$305,0)),"")</f>
        <v/>
      </c>
      <c r="S46" s="28">
        <f>IF(AND($A46&lt;&gt;"",$B46="Program"),COUNTIFS($B$6:$B46,"Program",$A$6:$A46,"&lt;&gt;"),"")</f>
        <v/>
      </c>
      <c r="T46" s="30">
        <f>IF(AND($A46&lt;&gt;"",$B46="Program"),SUMPRODUCT(MAX(($C$6:$C$305=$A46)*($B$6:$B$305="Project")*($D$6:$D$305&lt;&gt;"Proposed")*$I$6:$I$305)),0)</f>
        <v/>
      </c>
      <c r="U46" s="30">
        <f>IF($I46&lt;&gt;"",$I46,IF($T46&gt;0,$T46,""))</f>
        <v/>
      </c>
      <c r="V46" s="28">
        <f>IF(AND($A46&lt;&gt;"",$B46="Program"),SUMIFS($J$6:$J$305,$C$6:$C$305,$A46,$B$6:$B$305,"Project",$D$6:$D$305,"&lt;&gt;Proposed"),0)</f>
        <v/>
      </c>
      <c r="W46" s="28">
        <f>IF(AND($A46&lt;&gt;"",$B46="Program"),COUNTIFS($C$6:$C$305,$A46,$B$6:$B$305,"Project",$D$6:$D$305,"&lt;&gt;Proposed")-COUNTIFS($C$6:$C$305,$A46,$B$6:$B$305,"Project",$D$6:$D$305,"&lt;&gt;Proposed",$J$6:$J$305,"&gt;=0"),0)</f>
        <v/>
      </c>
      <c r="X46" s="28">
        <f>IF(OR($Q46=0,$H46="",$AF46="Sprint"),0,IF(AND($B46="Project",$H46&lt;TODAY()),3,IF($U46="",0,IF($U46&lt;=$H46,1,IF(NETWORKDAYS($H46,$U46)-1&gt;IF($B46="Program",Checks!$B$7,Checks!$B$6),3,2)))))</f>
        <v/>
      </c>
      <c r="Y46" s="28">
        <f>IF(OR($Q46=0,$K46="",$K46=0,$AF46="Sprint"),0,IF(AND($B46="Project",$J46=""),0,IF(IF($B46="Program",$V46,$J46)&gt;$K46*(1+Checks!$B$8),3,IF(IF($B46="Program",$V46,$J46)&gt;$K46,2,IF(AND($B46="Program",OR($W46&gt;0,$V46=0)),0,1)))))</f>
        <v/>
      </c>
      <c r="Z46" s="28">
        <f>IF($A46="",0,IF($C46="Portfolio",1,IF(AND($B46="Project",$C46&lt;&gt;"",$C46&lt;&gt;"Outside the portfolio"),IFERROR(IF(AND(INDEX($B$6:$B$305,MATCH($C46,$A$6:$A$305,0))="Program",INDEX($C$6:$C$305,MATCH($C46,$A$6:$A$305,0))="Portfolio"),1,0),0),0)))</f>
        <v/>
      </c>
      <c r="AA46" s="28">
        <f>IF(AND($A46&lt;&gt;"",$E46="",OR($Q46=1,$D46="Proposed")),1,0)</f>
        <v/>
      </c>
      <c r="AB46" s="28">
        <f>IF(AND($A46&lt;&gt;"",$B46="Program",$F46="",$Q46=1),1,0)</f>
        <v/>
      </c>
      <c r="AC46" s="28">
        <f>IF(OR($A46="",$D46="Completed",$D46="Terminated"),0,IF($C46="",1,IF($C46="Portfolio",0,IF($C46="Outside the portfolio",IF($Q46=1,2,0),IF($B46="Project",IF(IFERROR(INDEX($B$6:$B$305,MATCH($C46,$A$6:$A$305,0)),"")="Program",0,1),1)))))</f>
        <v/>
      </c>
      <c r="AD46" s="28">
        <f>IF(AND($A46&lt;&gt;"",OR($M46="■ Red",$M46="◧ Amber"),$L46=""),1,0)</f>
        <v/>
      </c>
      <c r="AE46" s="28">
        <f>$AA46+$AB46+IF($AC46&gt;0,1,0)+$AD46+$AG46+$AH46</f>
        <v/>
      </c>
      <c r="AF46" s="25" t="n"/>
      <c r="AG46" s="28">
        <f>IF(AND($A46&lt;&gt;"",$K46&lt;&gt;"",$C46&lt;&gt;"Portfolio",$D46&lt;&gt;"Completed",$D46&lt;&gt;"Terminated"),1,0)</f>
        <v/>
      </c>
      <c r="AH46" s="28">
        <f>IF(AND($A46&lt;&gt;"",COUNTIF($A$6:$A$305,$A46)&gt;1),1,0)</f>
        <v/>
      </c>
      <c r="AI46" s="28">
        <f>IF(AND($A46&lt;&gt;"",$C46="Portfolio"),COUNTIFS($C$6:$C46,"Portfolio",$A$6:$A46,"&lt;&gt;"),"")</f>
        <v/>
      </c>
    </row>
    <row r="47">
      <c r="A47" s="25" t="n"/>
      <c r="B47" s="25" t="n"/>
      <c r="C47" s="25" t="n"/>
      <c r="D47" s="25" t="n"/>
      <c r="E47" s="25" t="n"/>
      <c r="F47" s="25" t="n"/>
      <c r="G47" s="25" t="n"/>
      <c r="H47" s="26" t="n"/>
      <c r="I47" s="26" t="n"/>
      <c r="J47" s="27" t="n"/>
      <c r="K47" s="27" t="n"/>
      <c r="L47" s="23" t="n"/>
      <c r="M47" s="28">
        <f>IF($A47="","",IF($D47="","Not read",IF($Q47=0,"Not counted",IF(MAX($X47,$Y47)=3,"■ Red",IF(MAX($X47,$Y47)=2,"◧ Amber",IF(MAX($X47,$Y47)=1,"□ On track","Not read"))))))</f>
        <v/>
      </c>
      <c r="N47" s="28">
        <f>IF(OR($A47="",$B47&lt;&gt;"Program"),"","■ "&amp;COUNTIFS($C$6:$C$305,$A47,$M$6:$M$305,"■ Red")&amp;" Red, ◧ "&amp;COUNTIFS($C$6:$C$305,$A47,$M$6:$M$305,"◧ Amber")&amp;" Amber")</f>
        <v/>
      </c>
      <c r="O47" s="29">
        <f>IF(OR($A47="",$E47=""),"",COUNTIFS($E$6:$E$305,$E47,$D$6:$D$305,"Active")+COUNTIFS($E$6:$E$305,$E47,$D$6:$D$305,"Paused"))</f>
        <v/>
      </c>
      <c r="P47" s="28">
        <f>IF($A47="","",IF($AE47=0,"○ Clear",IF($AA47=1,"△ No owner",IF($AC47=1,"△ Check Sits under",IF($AC47=2,"△ Outside the portfolio",IF($AB47=1,"△ No sponsor",IF($AH47=1,"△ Name used twice",IF($AG47=1,"△ Budget only counts under Portfolio","△ No variance note"))))))&amp;IF($AE47&gt;1," (+"&amp;($AE47-1)&amp;" more)","")))</f>
        <v/>
      </c>
      <c r="Q47" s="28">
        <f>IF(AND($A47&lt;&gt;"",OR($D47="Active",$D47="Paused")),1,0)</f>
        <v/>
      </c>
      <c r="R47" s="28">
        <f>IFERROR(INDEX($A$6:$A$305,MATCH(40,$S$6:$S$305,0)),"")</f>
        <v/>
      </c>
      <c r="S47" s="28">
        <f>IF(AND($A47&lt;&gt;"",$B47="Program"),COUNTIFS($B$6:$B47,"Program",$A$6:$A47,"&lt;&gt;"),"")</f>
        <v/>
      </c>
      <c r="T47" s="30">
        <f>IF(AND($A47&lt;&gt;"",$B47="Program"),SUMPRODUCT(MAX(($C$6:$C$305=$A47)*($B$6:$B$305="Project")*($D$6:$D$305&lt;&gt;"Proposed")*$I$6:$I$305)),0)</f>
        <v/>
      </c>
      <c r="U47" s="30">
        <f>IF($I47&lt;&gt;"",$I47,IF($T47&gt;0,$T47,""))</f>
        <v/>
      </c>
      <c r="V47" s="28">
        <f>IF(AND($A47&lt;&gt;"",$B47="Program"),SUMIFS($J$6:$J$305,$C$6:$C$305,$A47,$B$6:$B$305,"Project",$D$6:$D$305,"&lt;&gt;Proposed"),0)</f>
        <v/>
      </c>
      <c r="W47" s="28">
        <f>IF(AND($A47&lt;&gt;"",$B47="Program"),COUNTIFS($C$6:$C$305,$A47,$B$6:$B$305,"Project",$D$6:$D$305,"&lt;&gt;Proposed")-COUNTIFS($C$6:$C$305,$A47,$B$6:$B$305,"Project",$D$6:$D$305,"&lt;&gt;Proposed",$J$6:$J$305,"&gt;=0"),0)</f>
        <v/>
      </c>
      <c r="X47" s="28">
        <f>IF(OR($Q47=0,$H47="",$AF47="Sprint"),0,IF(AND($B47="Project",$H47&lt;TODAY()),3,IF($U47="",0,IF($U47&lt;=$H47,1,IF(NETWORKDAYS($H47,$U47)-1&gt;IF($B47="Program",Checks!$B$7,Checks!$B$6),3,2)))))</f>
        <v/>
      </c>
      <c r="Y47" s="28">
        <f>IF(OR($Q47=0,$K47="",$K47=0,$AF47="Sprint"),0,IF(AND($B47="Project",$J47=""),0,IF(IF($B47="Program",$V47,$J47)&gt;$K47*(1+Checks!$B$8),3,IF(IF($B47="Program",$V47,$J47)&gt;$K47,2,IF(AND($B47="Program",OR($W47&gt;0,$V47=0)),0,1)))))</f>
        <v/>
      </c>
      <c r="Z47" s="28">
        <f>IF($A47="",0,IF($C47="Portfolio",1,IF(AND($B47="Project",$C47&lt;&gt;"",$C47&lt;&gt;"Outside the portfolio"),IFERROR(IF(AND(INDEX($B$6:$B$305,MATCH($C47,$A$6:$A$305,0))="Program",INDEX($C$6:$C$305,MATCH($C47,$A$6:$A$305,0))="Portfolio"),1,0),0),0)))</f>
        <v/>
      </c>
      <c r="AA47" s="28">
        <f>IF(AND($A47&lt;&gt;"",$E47="",OR($Q47=1,$D47="Proposed")),1,0)</f>
        <v/>
      </c>
      <c r="AB47" s="28">
        <f>IF(AND($A47&lt;&gt;"",$B47="Program",$F47="",$Q47=1),1,0)</f>
        <v/>
      </c>
      <c r="AC47" s="28">
        <f>IF(OR($A47="",$D47="Completed",$D47="Terminated"),0,IF($C47="",1,IF($C47="Portfolio",0,IF($C47="Outside the portfolio",IF($Q47=1,2,0),IF($B47="Project",IF(IFERROR(INDEX($B$6:$B$305,MATCH($C47,$A$6:$A$305,0)),"")="Program",0,1),1)))))</f>
        <v/>
      </c>
      <c r="AD47" s="28">
        <f>IF(AND($A47&lt;&gt;"",OR($M47="■ Red",$M47="◧ Amber"),$L47=""),1,0)</f>
        <v/>
      </c>
      <c r="AE47" s="28">
        <f>$AA47+$AB47+IF($AC47&gt;0,1,0)+$AD47+$AG47+$AH47</f>
        <v/>
      </c>
      <c r="AF47" s="25" t="n"/>
      <c r="AG47" s="28">
        <f>IF(AND($A47&lt;&gt;"",$K47&lt;&gt;"",$C47&lt;&gt;"Portfolio",$D47&lt;&gt;"Completed",$D47&lt;&gt;"Terminated"),1,0)</f>
        <v/>
      </c>
      <c r="AH47" s="28">
        <f>IF(AND($A47&lt;&gt;"",COUNTIF($A$6:$A$305,$A47)&gt;1),1,0)</f>
        <v/>
      </c>
      <c r="AI47" s="28">
        <f>IF(AND($A47&lt;&gt;"",$C47="Portfolio"),COUNTIFS($C$6:$C47,"Portfolio",$A$6:$A47,"&lt;&gt;"),"")</f>
        <v/>
      </c>
    </row>
    <row r="48">
      <c r="A48" s="25" t="n"/>
      <c r="B48" s="25" t="n"/>
      <c r="C48" s="25" t="n"/>
      <c r="D48" s="25" t="n"/>
      <c r="E48" s="25" t="n"/>
      <c r="F48" s="25" t="n"/>
      <c r="G48" s="25" t="n"/>
      <c r="H48" s="26" t="n"/>
      <c r="I48" s="26" t="n"/>
      <c r="J48" s="27" t="n"/>
      <c r="K48" s="27" t="n"/>
      <c r="L48" s="23" t="n"/>
      <c r="M48" s="28">
        <f>IF($A48="","",IF($D48="","Not read",IF($Q48=0,"Not counted",IF(MAX($X48,$Y48)=3,"■ Red",IF(MAX($X48,$Y48)=2,"◧ Amber",IF(MAX($X48,$Y48)=1,"□ On track","Not read"))))))</f>
        <v/>
      </c>
      <c r="N48" s="28">
        <f>IF(OR($A48="",$B48&lt;&gt;"Program"),"","■ "&amp;COUNTIFS($C$6:$C$305,$A48,$M$6:$M$305,"■ Red")&amp;" Red, ◧ "&amp;COUNTIFS($C$6:$C$305,$A48,$M$6:$M$305,"◧ Amber")&amp;" Amber")</f>
        <v/>
      </c>
      <c r="O48" s="29">
        <f>IF(OR($A48="",$E48=""),"",COUNTIFS($E$6:$E$305,$E48,$D$6:$D$305,"Active")+COUNTIFS($E$6:$E$305,$E48,$D$6:$D$305,"Paused"))</f>
        <v/>
      </c>
      <c r="P48" s="28">
        <f>IF($A48="","",IF($AE48=0,"○ Clear",IF($AA48=1,"△ No owner",IF($AC48=1,"△ Check Sits under",IF($AC48=2,"△ Outside the portfolio",IF($AB48=1,"△ No sponsor",IF($AH48=1,"△ Name used twice",IF($AG48=1,"△ Budget only counts under Portfolio","△ No variance note"))))))&amp;IF($AE48&gt;1," (+"&amp;($AE48-1)&amp;" more)","")))</f>
        <v/>
      </c>
      <c r="Q48" s="28">
        <f>IF(AND($A48&lt;&gt;"",OR($D48="Active",$D48="Paused")),1,0)</f>
        <v/>
      </c>
      <c r="R48" s="28">
        <f>IFERROR(INDEX($A$6:$A$305,MATCH(41,$S$6:$S$305,0)),"")</f>
        <v/>
      </c>
      <c r="S48" s="28">
        <f>IF(AND($A48&lt;&gt;"",$B48="Program"),COUNTIFS($B$6:$B48,"Program",$A$6:$A48,"&lt;&gt;"),"")</f>
        <v/>
      </c>
      <c r="T48" s="30">
        <f>IF(AND($A48&lt;&gt;"",$B48="Program"),SUMPRODUCT(MAX(($C$6:$C$305=$A48)*($B$6:$B$305="Project")*($D$6:$D$305&lt;&gt;"Proposed")*$I$6:$I$305)),0)</f>
        <v/>
      </c>
      <c r="U48" s="30">
        <f>IF($I48&lt;&gt;"",$I48,IF($T48&gt;0,$T48,""))</f>
        <v/>
      </c>
      <c r="V48" s="28">
        <f>IF(AND($A48&lt;&gt;"",$B48="Program"),SUMIFS($J$6:$J$305,$C$6:$C$305,$A48,$B$6:$B$305,"Project",$D$6:$D$305,"&lt;&gt;Proposed"),0)</f>
        <v/>
      </c>
      <c r="W48" s="28">
        <f>IF(AND($A48&lt;&gt;"",$B48="Program"),COUNTIFS($C$6:$C$305,$A48,$B$6:$B$305,"Project",$D$6:$D$305,"&lt;&gt;Proposed")-COUNTIFS($C$6:$C$305,$A48,$B$6:$B$305,"Project",$D$6:$D$305,"&lt;&gt;Proposed",$J$6:$J$305,"&gt;=0"),0)</f>
        <v/>
      </c>
      <c r="X48" s="28">
        <f>IF(OR($Q48=0,$H48="",$AF48="Sprint"),0,IF(AND($B48="Project",$H48&lt;TODAY()),3,IF($U48="",0,IF($U48&lt;=$H48,1,IF(NETWORKDAYS($H48,$U48)-1&gt;IF($B48="Program",Checks!$B$7,Checks!$B$6),3,2)))))</f>
        <v/>
      </c>
      <c r="Y48" s="28">
        <f>IF(OR($Q48=0,$K48="",$K48=0,$AF48="Sprint"),0,IF(AND($B48="Project",$J48=""),0,IF(IF($B48="Program",$V48,$J48)&gt;$K48*(1+Checks!$B$8),3,IF(IF($B48="Program",$V48,$J48)&gt;$K48,2,IF(AND($B48="Program",OR($W48&gt;0,$V48=0)),0,1)))))</f>
        <v/>
      </c>
      <c r="Z48" s="28">
        <f>IF($A48="",0,IF($C48="Portfolio",1,IF(AND($B48="Project",$C48&lt;&gt;"",$C48&lt;&gt;"Outside the portfolio"),IFERROR(IF(AND(INDEX($B$6:$B$305,MATCH($C48,$A$6:$A$305,0))="Program",INDEX($C$6:$C$305,MATCH($C48,$A$6:$A$305,0))="Portfolio"),1,0),0),0)))</f>
        <v/>
      </c>
      <c r="AA48" s="28">
        <f>IF(AND($A48&lt;&gt;"",$E48="",OR($Q48=1,$D48="Proposed")),1,0)</f>
        <v/>
      </c>
      <c r="AB48" s="28">
        <f>IF(AND($A48&lt;&gt;"",$B48="Program",$F48="",$Q48=1),1,0)</f>
        <v/>
      </c>
      <c r="AC48" s="28">
        <f>IF(OR($A48="",$D48="Completed",$D48="Terminated"),0,IF($C48="",1,IF($C48="Portfolio",0,IF($C48="Outside the portfolio",IF($Q48=1,2,0),IF($B48="Project",IF(IFERROR(INDEX($B$6:$B$305,MATCH($C48,$A$6:$A$305,0)),"")="Program",0,1),1)))))</f>
        <v/>
      </c>
      <c r="AD48" s="28">
        <f>IF(AND($A48&lt;&gt;"",OR($M48="■ Red",$M48="◧ Amber"),$L48=""),1,0)</f>
        <v/>
      </c>
      <c r="AE48" s="28">
        <f>$AA48+$AB48+IF($AC48&gt;0,1,0)+$AD48+$AG48+$AH48</f>
        <v/>
      </c>
      <c r="AF48" s="25" t="n"/>
      <c r="AG48" s="28">
        <f>IF(AND($A48&lt;&gt;"",$K48&lt;&gt;"",$C48&lt;&gt;"Portfolio",$D48&lt;&gt;"Completed",$D48&lt;&gt;"Terminated"),1,0)</f>
        <v/>
      </c>
      <c r="AH48" s="28">
        <f>IF(AND($A48&lt;&gt;"",COUNTIF($A$6:$A$305,$A48)&gt;1),1,0)</f>
        <v/>
      </c>
      <c r="AI48" s="28">
        <f>IF(AND($A48&lt;&gt;"",$C48="Portfolio"),COUNTIFS($C$6:$C48,"Portfolio",$A$6:$A48,"&lt;&gt;"),"")</f>
        <v/>
      </c>
    </row>
    <row r="49">
      <c r="A49" s="25" t="n"/>
      <c r="B49" s="25" t="n"/>
      <c r="C49" s="25" t="n"/>
      <c r="D49" s="25" t="n"/>
      <c r="E49" s="25" t="n"/>
      <c r="F49" s="25" t="n"/>
      <c r="G49" s="25" t="n"/>
      <c r="H49" s="26" t="n"/>
      <c r="I49" s="26" t="n"/>
      <c r="J49" s="27" t="n"/>
      <c r="K49" s="27" t="n"/>
      <c r="L49" s="23" t="n"/>
      <c r="M49" s="28">
        <f>IF($A49="","",IF($D49="","Not read",IF($Q49=0,"Not counted",IF(MAX($X49,$Y49)=3,"■ Red",IF(MAX($X49,$Y49)=2,"◧ Amber",IF(MAX($X49,$Y49)=1,"□ On track","Not read"))))))</f>
        <v/>
      </c>
      <c r="N49" s="28">
        <f>IF(OR($A49="",$B49&lt;&gt;"Program"),"","■ "&amp;COUNTIFS($C$6:$C$305,$A49,$M$6:$M$305,"■ Red")&amp;" Red, ◧ "&amp;COUNTIFS($C$6:$C$305,$A49,$M$6:$M$305,"◧ Amber")&amp;" Amber")</f>
        <v/>
      </c>
      <c r="O49" s="29">
        <f>IF(OR($A49="",$E49=""),"",COUNTIFS($E$6:$E$305,$E49,$D$6:$D$305,"Active")+COUNTIFS($E$6:$E$305,$E49,$D$6:$D$305,"Paused"))</f>
        <v/>
      </c>
      <c r="P49" s="28">
        <f>IF($A49="","",IF($AE49=0,"○ Clear",IF($AA49=1,"△ No owner",IF($AC49=1,"△ Check Sits under",IF($AC49=2,"△ Outside the portfolio",IF($AB49=1,"△ No sponsor",IF($AH49=1,"△ Name used twice",IF($AG49=1,"△ Budget only counts under Portfolio","△ No variance note"))))))&amp;IF($AE49&gt;1," (+"&amp;($AE49-1)&amp;" more)","")))</f>
        <v/>
      </c>
      <c r="Q49" s="28">
        <f>IF(AND($A49&lt;&gt;"",OR($D49="Active",$D49="Paused")),1,0)</f>
        <v/>
      </c>
      <c r="R49" s="28">
        <f>IFERROR(INDEX($A$6:$A$305,MATCH(42,$S$6:$S$305,0)),"")</f>
        <v/>
      </c>
      <c r="S49" s="28">
        <f>IF(AND($A49&lt;&gt;"",$B49="Program"),COUNTIFS($B$6:$B49,"Program",$A$6:$A49,"&lt;&gt;"),"")</f>
        <v/>
      </c>
      <c r="T49" s="30">
        <f>IF(AND($A49&lt;&gt;"",$B49="Program"),SUMPRODUCT(MAX(($C$6:$C$305=$A49)*($B$6:$B$305="Project")*($D$6:$D$305&lt;&gt;"Proposed")*$I$6:$I$305)),0)</f>
        <v/>
      </c>
      <c r="U49" s="30">
        <f>IF($I49&lt;&gt;"",$I49,IF($T49&gt;0,$T49,""))</f>
        <v/>
      </c>
      <c r="V49" s="28">
        <f>IF(AND($A49&lt;&gt;"",$B49="Program"),SUMIFS($J$6:$J$305,$C$6:$C$305,$A49,$B$6:$B$305,"Project",$D$6:$D$305,"&lt;&gt;Proposed"),0)</f>
        <v/>
      </c>
      <c r="W49" s="28">
        <f>IF(AND($A49&lt;&gt;"",$B49="Program"),COUNTIFS($C$6:$C$305,$A49,$B$6:$B$305,"Project",$D$6:$D$305,"&lt;&gt;Proposed")-COUNTIFS($C$6:$C$305,$A49,$B$6:$B$305,"Project",$D$6:$D$305,"&lt;&gt;Proposed",$J$6:$J$305,"&gt;=0"),0)</f>
        <v/>
      </c>
      <c r="X49" s="28">
        <f>IF(OR($Q49=0,$H49="",$AF49="Sprint"),0,IF(AND($B49="Project",$H49&lt;TODAY()),3,IF($U49="",0,IF($U49&lt;=$H49,1,IF(NETWORKDAYS($H49,$U49)-1&gt;IF($B49="Program",Checks!$B$7,Checks!$B$6),3,2)))))</f>
        <v/>
      </c>
      <c r="Y49" s="28">
        <f>IF(OR($Q49=0,$K49="",$K49=0,$AF49="Sprint"),0,IF(AND($B49="Project",$J49=""),0,IF(IF($B49="Program",$V49,$J49)&gt;$K49*(1+Checks!$B$8),3,IF(IF($B49="Program",$V49,$J49)&gt;$K49,2,IF(AND($B49="Program",OR($W49&gt;0,$V49=0)),0,1)))))</f>
        <v/>
      </c>
      <c r="Z49" s="28">
        <f>IF($A49="",0,IF($C49="Portfolio",1,IF(AND($B49="Project",$C49&lt;&gt;"",$C49&lt;&gt;"Outside the portfolio"),IFERROR(IF(AND(INDEX($B$6:$B$305,MATCH($C49,$A$6:$A$305,0))="Program",INDEX($C$6:$C$305,MATCH($C49,$A$6:$A$305,0))="Portfolio"),1,0),0),0)))</f>
        <v/>
      </c>
      <c r="AA49" s="28">
        <f>IF(AND($A49&lt;&gt;"",$E49="",OR($Q49=1,$D49="Proposed")),1,0)</f>
        <v/>
      </c>
      <c r="AB49" s="28">
        <f>IF(AND($A49&lt;&gt;"",$B49="Program",$F49="",$Q49=1),1,0)</f>
        <v/>
      </c>
      <c r="AC49" s="28">
        <f>IF(OR($A49="",$D49="Completed",$D49="Terminated"),0,IF($C49="",1,IF($C49="Portfolio",0,IF($C49="Outside the portfolio",IF($Q49=1,2,0),IF($B49="Project",IF(IFERROR(INDEX($B$6:$B$305,MATCH($C49,$A$6:$A$305,0)),"")="Program",0,1),1)))))</f>
        <v/>
      </c>
      <c r="AD49" s="28">
        <f>IF(AND($A49&lt;&gt;"",OR($M49="■ Red",$M49="◧ Amber"),$L49=""),1,0)</f>
        <v/>
      </c>
      <c r="AE49" s="28">
        <f>$AA49+$AB49+IF($AC49&gt;0,1,0)+$AD49+$AG49+$AH49</f>
        <v/>
      </c>
      <c r="AF49" s="25" t="n"/>
      <c r="AG49" s="28">
        <f>IF(AND($A49&lt;&gt;"",$K49&lt;&gt;"",$C49&lt;&gt;"Portfolio",$D49&lt;&gt;"Completed",$D49&lt;&gt;"Terminated"),1,0)</f>
        <v/>
      </c>
      <c r="AH49" s="28">
        <f>IF(AND($A49&lt;&gt;"",COUNTIF($A$6:$A$305,$A49)&gt;1),1,0)</f>
        <v/>
      </c>
      <c r="AI49" s="28">
        <f>IF(AND($A49&lt;&gt;"",$C49="Portfolio"),COUNTIFS($C$6:$C49,"Portfolio",$A$6:$A49,"&lt;&gt;"),"")</f>
        <v/>
      </c>
    </row>
    <row r="50">
      <c r="A50" s="25" t="n"/>
      <c r="B50" s="25" t="n"/>
      <c r="C50" s="25" t="n"/>
      <c r="D50" s="25" t="n"/>
      <c r="E50" s="25" t="n"/>
      <c r="F50" s="25" t="n"/>
      <c r="G50" s="25" t="n"/>
      <c r="H50" s="26" t="n"/>
      <c r="I50" s="26" t="n"/>
      <c r="J50" s="27" t="n"/>
      <c r="K50" s="27" t="n"/>
      <c r="L50" s="23" t="n"/>
      <c r="M50" s="28">
        <f>IF($A50="","",IF($D50="","Not read",IF($Q50=0,"Not counted",IF(MAX($X50,$Y50)=3,"■ Red",IF(MAX($X50,$Y50)=2,"◧ Amber",IF(MAX($X50,$Y50)=1,"□ On track","Not read"))))))</f>
        <v/>
      </c>
      <c r="N50" s="28">
        <f>IF(OR($A50="",$B50&lt;&gt;"Program"),"","■ "&amp;COUNTIFS($C$6:$C$305,$A50,$M$6:$M$305,"■ Red")&amp;" Red, ◧ "&amp;COUNTIFS($C$6:$C$305,$A50,$M$6:$M$305,"◧ Amber")&amp;" Amber")</f>
        <v/>
      </c>
      <c r="O50" s="29">
        <f>IF(OR($A50="",$E50=""),"",COUNTIFS($E$6:$E$305,$E50,$D$6:$D$305,"Active")+COUNTIFS($E$6:$E$305,$E50,$D$6:$D$305,"Paused"))</f>
        <v/>
      </c>
      <c r="P50" s="28">
        <f>IF($A50="","",IF($AE50=0,"○ Clear",IF($AA50=1,"△ No owner",IF($AC50=1,"△ Check Sits under",IF($AC50=2,"△ Outside the portfolio",IF($AB50=1,"△ No sponsor",IF($AH50=1,"△ Name used twice",IF($AG50=1,"△ Budget only counts under Portfolio","△ No variance note"))))))&amp;IF($AE50&gt;1," (+"&amp;($AE50-1)&amp;" more)","")))</f>
        <v/>
      </c>
      <c r="Q50" s="28">
        <f>IF(AND($A50&lt;&gt;"",OR($D50="Active",$D50="Paused")),1,0)</f>
        <v/>
      </c>
      <c r="R50" s="28">
        <f>IFERROR(INDEX($A$6:$A$305,MATCH(43,$S$6:$S$305,0)),"")</f>
        <v/>
      </c>
      <c r="S50" s="28">
        <f>IF(AND($A50&lt;&gt;"",$B50="Program"),COUNTIFS($B$6:$B50,"Program",$A$6:$A50,"&lt;&gt;"),"")</f>
        <v/>
      </c>
      <c r="T50" s="30">
        <f>IF(AND($A50&lt;&gt;"",$B50="Program"),SUMPRODUCT(MAX(($C$6:$C$305=$A50)*($B$6:$B$305="Project")*($D$6:$D$305&lt;&gt;"Proposed")*$I$6:$I$305)),0)</f>
        <v/>
      </c>
      <c r="U50" s="30">
        <f>IF($I50&lt;&gt;"",$I50,IF($T50&gt;0,$T50,""))</f>
        <v/>
      </c>
      <c r="V50" s="28">
        <f>IF(AND($A50&lt;&gt;"",$B50="Program"),SUMIFS($J$6:$J$305,$C$6:$C$305,$A50,$B$6:$B$305,"Project",$D$6:$D$305,"&lt;&gt;Proposed"),0)</f>
        <v/>
      </c>
      <c r="W50" s="28">
        <f>IF(AND($A50&lt;&gt;"",$B50="Program"),COUNTIFS($C$6:$C$305,$A50,$B$6:$B$305,"Project",$D$6:$D$305,"&lt;&gt;Proposed")-COUNTIFS($C$6:$C$305,$A50,$B$6:$B$305,"Project",$D$6:$D$305,"&lt;&gt;Proposed",$J$6:$J$305,"&gt;=0"),0)</f>
        <v/>
      </c>
      <c r="X50" s="28">
        <f>IF(OR($Q50=0,$H50="",$AF50="Sprint"),0,IF(AND($B50="Project",$H50&lt;TODAY()),3,IF($U50="",0,IF($U50&lt;=$H50,1,IF(NETWORKDAYS($H50,$U50)-1&gt;IF($B50="Program",Checks!$B$7,Checks!$B$6),3,2)))))</f>
        <v/>
      </c>
      <c r="Y50" s="28">
        <f>IF(OR($Q50=0,$K50="",$K50=0,$AF50="Sprint"),0,IF(AND($B50="Project",$J50=""),0,IF(IF($B50="Program",$V50,$J50)&gt;$K50*(1+Checks!$B$8),3,IF(IF($B50="Program",$V50,$J50)&gt;$K50,2,IF(AND($B50="Program",OR($W50&gt;0,$V50=0)),0,1)))))</f>
        <v/>
      </c>
      <c r="Z50" s="28">
        <f>IF($A50="",0,IF($C50="Portfolio",1,IF(AND($B50="Project",$C50&lt;&gt;"",$C50&lt;&gt;"Outside the portfolio"),IFERROR(IF(AND(INDEX($B$6:$B$305,MATCH($C50,$A$6:$A$305,0))="Program",INDEX($C$6:$C$305,MATCH($C50,$A$6:$A$305,0))="Portfolio"),1,0),0),0)))</f>
        <v/>
      </c>
      <c r="AA50" s="28">
        <f>IF(AND($A50&lt;&gt;"",$E50="",OR($Q50=1,$D50="Proposed")),1,0)</f>
        <v/>
      </c>
      <c r="AB50" s="28">
        <f>IF(AND($A50&lt;&gt;"",$B50="Program",$F50="",$Q50=1),1,0)</f>
        <v/>
      </c>
      <c r="AC50" s="28">
        <f>IF(OR($A50="",$D50="Completed",$D50="Terminated"),0,IF($C50="",1,IF($C50="Portfolio",0,IF($C50="Outside the portfolio",IF($Q50=1,2,0),IF($B50="Project",IF(IFERROR(INDEX($B$6:$B$305,MATCH($C50,$A$6:$A$305,0)),"")="Program",0,1),1)))))</f>
        <v/>
      </c>
      <c r="AD50" s="28">
        <f>IF(AND($A50&lt;&gt;"",OR($M50="■ Red",$M50="◧ Amber"),$L50=""),1,0)</f>
        <v/>
      </c>
      <c r="AE50" s="28">
        <f>$AA50+$AB50+IF($AC50&gt;0,1,0)+$AD50+$AG50+$AH50</f>
        <v/>
      </c>
      <c r="AF50" s="25" t="n"/>
      <c r="AG50" s="28">
        <f>IF(AND($A50&lt;&gt;"",$K50&lt;&gt;"",$C50&lt;&gt;"Portfolio",$D50&lt;&gt;"Completed",$D50&lt;&gt;"Terminated"),1,0)</f>
        <v/>
      </c>
      <c r="AH50" s="28">
        <f>IF(AND($A50&lt;&gt;"",COUNTIF($A$6:$A$305,$A50)&gt;1),1,0)</f>
        <v/>
      </c>
      <c r="AI50" s="28">
        <f>IF(AND($A50&lt;&gt;"",$C50="Portfolio"),COUNTIFS($C$6:$C50,"Portfolio",$A$6:$A50,"&lt;&gt;"),"")</f>
        <v/>
      </c>
    </row>
    <row r="51">
      <c r="A51" s="25" t="n"/>
      <c r="B51" s="25" t="n"/>
      <c r="C51" s="25" t="n"/>
      <c r="D51" s="25" t="n"/>
      <c r="E51" s="25" t="n"/>
      <c r="F51" s="25" t="n"/>
      <c r="G51" s="25" t="n"/>
      <c r="H51" s="26" t="n"/>
      <c r="I51" s="26" t="n"/>
      <c r="J51" s="27" t="n"/>
      <c r="K51" s="27" t="n"/>
      <c r="L51" s="23" t="n"/>
      <c r="M51" s="28">
        <f>IF($A51="","",IF($D51="","Not read",IF($Q51=0,"Not counted",IF(MAX($X51,$Y51)=3,"■ Red",IF(MAX($X51,$Y51)=2,"◧ Amber",IF(MAX($X51,$Y51)=1,"□ On track","Not read"))))))</f>
        <v/>
      </c>
      <c r="N51" s="28">
        <f>IF(OR($A51="",$B51&lt;&gt;"Program"),"","■ "&amp;COUNTIFS($C$6:$C$305,$A51,$M$6:$M$305,"■ Red")&amp;" Red, ◧ "&amp;COUNTIFS($C$6:$C$305,$A51,$M$6:$M$305,"◧ Amber")&amp;" Amber")</f>
        <v/>
      </c>
      <c r="O51" s="29">
        <f>IF(OR($A51="",$E51=""),"",COUNTIFS($E$6:$E$305,$E51,$D$6:$D$305,"Active")+COUNTIFS($E$6:$E$305,$E51,$D$6:$D$305,"Paused"))</f>
        <v/>
      </c>
      <c r="P51" s="28">
        <f>IF($A51="","",IF($AE51=0,"○ Clear",IF($AA51=1,"△ No owner",IF($AC51=1,"△ Check Sits under",IF($AC51=2,"△ Outside the portfolio",IF($AB51=1,"△ No sponsor",IF($AH51=1,"△ Name used twice",IF($AG51=1,"△ Budget only counts under Portfolio","△ No variance note"))))))&amp;IF($AE51&gt;1," (+"&amp;($AE51-1)&amp;" more)","")))</f>
        <v/>
      </c>
      <c r="Q51" s="28">
        <f>IF(AND($A51&lt;&gt;"",OR($D51="Active",$D51="Paused")),1,0)</f>
        <v/>
      </c>
      <c r="R51" s="28">
        <f>IFERROR(INDEX($A$6:$A$305,MATCH(44,$S$6:$S$305,0)),"")</f>
        <v/>
      </c>
      <c r="S51" s="28">
        <f>IF(AND($A51&lt;&gt;"",$B51="Program"),COUNTIFS($B$6:$B51,"Program",$A$6:$A51,"&lt;&gt;"),"")</f>
        <v/>
      </c>
      <c r="T51" s="30">
        <f>IF(AND($A51&lt;&gt;"",$B51="Program"),SUMPRODUCT(MAX(($C$6:$C$305=$A51)*($B$6:$B$305="Project")*($D$6:$D$305&lt;&gt;"Proposed")*$I$6:$I$305)),0)</f>
        <v/>
      </c>
      <c r="U51" s="30">
        <f>IF($I51&lt;&gt;"",$I51,IF($T51&gt;0,$T51,""))</f>
        <v/>
      </c>
      <c r="V51" s="28">
        <f>IF(AND($A51&lt;&gt;"",$B51="Program"),SUMIFS($J$6:$J$305,$C$6:$C$305,$A51,$B$6:$B$305,"Project",$D$6:$D$305,"&lt;&gt;Proposed"),0)</f>
        <v/>
      </c>
      <c r="W51" s="28">
        <f>IF(AND($A51&lt;&gt;"",$B51="Program"),COUNTIFS($C$6:$C$305,$A51,$B$6:$B$305,"Project",$D$6:$D$305,"&lt;&gt;Proposed")-COUNTIFS($C$6:$C$305,$A51,$B$6:$B$305,"Project",$D$6:$D$305,"&lt;&gt;Proposed",$J$6:$J$305,"&gt;=0"),0)</f>
        <v/>
      </c>
      <c r="X51" s="28">
        <f>IF(OR($Q51=0,$H51="",$AF51="Sprint"),0,IF(AND($B51="Project",$H51&lt;TODAY()),3,IF($U51="",0,IF($U51&lt;=$H51,1,IF(NETWORKDAYS($H51,$U51)-1&gt;IF($B51="Program",Checks!$B$7,Checks!$B$6),3,2)))))</f>
        <v/>
      </c>
      <c r="Y51" s="28">
        <f>IF(OR($Q51=0,$K51="",$K51=0,$AF51="Sprint"),0,IF(AND($B51="Project",$J51=""),0,IF(IF($B51="Program",$V51,$J51)&gt;$K51*(1+Checks!$B$8),3,IF(IF($B51="Program",$V51,$J51)&gt;$K51,2,IF(AND($B51="Program",OR($W51&gt;0,$V51=0)),0,1)))))</f>
        <v/>
      </c>
      <c r="Z51" s="28">
        <f>IF($A51="",0,IF($C51="Portfolio",1,IF(AND($B51="Project",$C51&lt;&gt;"",$C51&lt;&gt;"Outside the portfolio"),IFERROR(IF(AND(INDEX($B$6:$B$305,MATCH($C51,$A$6:$A$305,0))="Program",INDEX($C$6:$C$305,MATCH($C51,$A$6:$A$305,0))="Portfolio"),1,0),0),0)))</f>
        <v/>
      </c>
      <c r="AA51" s="28">
        <f>IF(AND($A51&lt;&gt;"",$E51="",OR($Q51=1,$D51="Proposed")),1,0)</f>
        <v/>
      </c>
      <c r="AB51" s="28">
        <f>IF(AND($A51&lt;&gt;"",$B51="Program",$F51="",$Q51=1),1,0)</f>
        <v/>
      </c>
      <c r="AC51" s="28">
        <f>IF(OR($A51="",$D51="Completed",$D51="Terminated"),0,IF($C51="",1,IF($C51="Portfolio",0,IF($C51="Outside the portfolio",IF($Q51=1,2,0),IF($B51="Project",IF(IFERROR(INDEX($B$6:$B$305,MATCH($C51,$A$6:$A$305,0)),"")="Program",0,1),1)))))</f>
        <v/>
      </c>
      <c r="AD51" s="28">
        <f>IF(AND($A51&lt;&gt;"",OR($M51="■ Red",$M51="◧ Amber"),$L51=""),1,0)</f>
        <v/>
      </c>
      <c r="AE51" s="28">
        <f>$AA51+$AB51+IF($AC51&gt;0,1,0)+$AD51+$AG51+$AH51</f>
        <v/>
      </c>
      <c r="AF51" s="25" t="n"/>
      <c r="AG51" s="28">
        <f>IF(AND($A51&lt;&gt;"",$K51&lt;&gt;"",$C51&lt;&gt;"Portfolio",$D51&lt;&gt;"Completed",$D51&lt;&gt;"Terminated"),1,0)</f>
        <v/>
      </c>
      <c r="AH51" s="28">
        <f>IF(AND($A51&lt;&gt;"",COUNTIF($A$6:$A$305,$A51)&gt;1),1,0)</f>
        <v/>
      </c>
      <c r="AI51" s="28">
        <f>IF(AND($A51&lt;&gt;"",$C51="Portfolio"),COUNTIFS($C$6:$C51,"Portfolio",$A$6:$A51,"&lt;&gt;"),"")</f>
        <v/>
      </c>
    </row>
    <row r="52">
      <c r="A52" s="25" t="n"/>
      <c r="B52" s="25" t="n"/>
      <c r="C52" s="25" t="n"/>
      <c r="D52" s="25" t="n"/>
      <c r="E52" s="25" t="n"/>
      <c r="F52" s="25" t="n"/>
      <c r="G52" s="25" t="n"/>
      <c r="H52" s="26" t="n"/>
      <c r="I52" s="26" t="n"/>
      <c r="J52" s="27" t="n"/>
      <c r="K52" s="27" t="n"/>
      <c r="L52" s="23" t="n"/>
      <c r="M52" s="28">
        <f>IF($A52="","",IF($D52="","Not read",IF($Q52=0,"Not counted",IF(MAX($X52,$Y52)=3,"■ Red",IF(MAX($X52,$Y52)=2,"◧ Amber",IF(MAX($X52,$Y52)=1,"□ On track","Not read"))))))</f>
        <v/>
      </c>
      <c r="N52" s="28">
        <f>IF(OR($A52="",$B52&lt;&gt;"Program"),"","■ "&amp;COUNTIFS($C$6:$C$305,$A52,$M$6:$M$305,"■ Red")&amp;" Red, ◧ "&amp;COUNTIFS($C$6:$C$305,$A52,$M$6:$M$305,"◧ Amber")&amp;" Amber")</f>
        <v/>
      </c>
      <c r="O52" s="29">
        <f>IF(OR($A52="",$E52=""),"",COUNTIFS($E$6:$E$305,$E52,$D$6:$D$305,"Active")+COUNTIFS($E$6:$E$305,$E52,$D$6:$D$305,"Paused"))</f>
        <v/>
      </c>
      <c r="P52" s="28">
        <f>IF($A52="","",IF($AE52=0,"○ Clear",IF($AA52=1,"△ No owner",IF($AC52=1,"△ Check Sits under",IF($AC52=2,"△ Outside the portfolio",IF($AB52=1,"△ No sponsor",IF($AH52=1,"△ Name used twice",IF($AG52=1,"△ Budget only counts under Portfolio","△ No variance note"))))))&amp;IF($AE52&gt;1," (+"&amp;($AE52-1)&amp;" more)","")))</f>
        <v/>
      </c>
      <c r="Q52" s="28">
        <f>IF(AND($A52&lt;&gt;"",OR($D52="Active",$D52="Paused")),1,0)</f>
        <v/>
      </c>
      <c r="R52" s="28">
        <f>IFERROR(INDEX($A$6:$A$305,MATCH(45,$S$6:$S$305,0)),"")</f>
        <v/>
      </c>
      <c r="S52" s="28">
        <f>IF(AND($A52&lt;&gt;"",$B52="Program"),COUNTIFS($B$6:$B52,"Program",$A$6:$A52,"&lt;&gt;"),"")</f>
        <v/>
      </c>
      <c r="T52" s="30">
        <f>IF(AND($A52&lt;&gt;"",$B52="Program"),SUMPRODUCT(MAX(($C$6:$C$305=$A52)*($B$6:$B$305="Project")*($D$6:$D$305&lt;&gt;"Proposed")*$I$6:$I$305)),0)</f>
        <v/>
      </c>
      <c r="U52" s="30">
        <f>IF($I52&lt;&gt;"",$I52,IF($T52&gt;0,$T52,""))</f>
        <v/>
      </c>
      <c r="V52" s="28">
        <f>IF(AND($A52&lt;&gt;"",$B52="Program"),SUMIFS($J$6:$J$305,$C$6:$C$305,$A52,$B$6:$B$305,"Project",$D$6:$D$305,"&lt;&gt;Proposed"),0)</f>
        <v/>
      </c>
      <c r="W52" s="28">
        <f>IF(AND($A52&lt;&gt;"",$B52="Program"),COUNTIFS($C$6:$C$305,$A52,$B$6:$B$305,"Project",$D$6:$D$305,"&lt;&gt;Proposed")-COUNTIFS($C$6:$C$305,$A52,$B$6:$B$305,"Project",$D$6:$D$305,"&lt;&gt;Proposed",$J$6:$J$305,"&gt;=0"),0)</f>
        <v/>
      </c>
      <c r="X52" s="28">
        <f>IF(OR($Q52=0,$H52="",$AF52="Sprint"),0,IF(AND($B52="Project",$H52&lt;TODAY()),3,IF($U52="",0,IF($U52&lt;=$H52,1,IF(NETWORKDAYS($H52,$U52)-1&gt;IF($B52="Program",Checks!$B$7,Checks!$B$6),3,2)))))</f>
        <v/>
      </c>
      <c r="Y52" s="28">
        <f>IF(OR($Q52=0,$K52="",$K52=0,$AF52="Sprint"),0,IF(AND($B52="Project",$J52=""),0,IF(IF($B52="Program",$V52,$J52)&gt;$K52*(1+Checks!$B$8),3,IF(IF($B52="Program",$V52,$J52)&gt;$K52,2,IF(AND($B52="Program",OR($W52&gt;0,$V52=0)),0,1)))))</f>
        <v/>
      </c>
      <c r="Z52" s="28">
        <f>IF($A52="",0,IF($C52="Portfolio",1,IF(AND($B52="Project",$C52&lt;&gt;"",$C52&lt;&gt;"Outside the portfolio"),IFERROR(IF(AND(INDEX($B$6:$B$305,MATCH($C52,$A$6:$A$305,0))="Program",INDEX($C$6:$C$305,MATCH($C52,$A$6:$A$305,0))="Portfolio"),1,0),0),0)))</f>
        <v/>
      </c>
      <c r="AA52" s="28">
        <f>IF(AND($A52&lt;&gt;"",$E52="",OR($Q52=1,$D52="Proposed")),1,0)</f>
        <v/>
      </c>
      <c r="AB52" s="28">
        <f>IF(AND($A52&lt;&gt;"",$B52="Program",$F52="",$Q52=1),1,0)</f>
        <v/>
      </c>
      <c r="AC52" s="28">
        <f>IF(OR($A52="",$D52="Completed",$D52="Terminated"),0,IF($C52="",1,IF($C52="Portfolio",0,IF($C52="Outside the portfolio",IF($Q52=1,2,0),IF($B52="Project",IF(IFERROR(INDEX($B$6:$B$305,MATCH($C52,$A$6:$A$305,0)),"")="Program",0,1),1)))))</f>
        <v/>
      </c>
      <c r="AD52" s="28">
        <f>IF(AND($A52&lt;&gt;"",OR($M52="■ Red",$M52="◧ Amber"),$L52=""),1,0)</f>
        <v/>
      </c>
      <c r="AE52" s="28">
        <f>$AA52+$AB52+IF($AC52&gt;0,1,0)+$AD52+$AG52+$AH52</f>
        <v/>
      </c>
      <c r="AF52" s="25" t="n"/>
      <c r="AG52" s="28">
        <f>IF(AND($A52&lt;&gt;"",$K52&lt;&gt;"",$C52&lt;&gt;"Portfolio",$D52&lt;&gt;"Completed",$D52&lt;&gt;"Terminated"),1,0)</f>
        <v/>
      </c>
      <c r="AH52" s="28">
        <f>IF(AND($A52&lt;&gt;"",COUNTIF($A$6:$A$305,$A52)&gt;1),1,0)</f>
        <v/>
      </c>
      <c r="AI52" s="28">
        <f>IF(AND($A52&lt;&gt;"",$C52="Portfolio"),COUNTIFS($C$6:$C52,"Portfolio",$A$6:$A52,"&lt;&gt;"),"")</f>
        <v/>
      </c>
    </row>
    <row r="53">
      <c r="A53" s="25" t="n"/>
      <c r="B53" s="25" t="n"/>
      <c r="C53" s="25" t="n"/>
      <c r="D53" s="25" t="n"/>
      <c r="E53" s="25" t="n"/>
      <c r="F53" s="25" t="n"/>
      <c r="G53" s="25" t="n"/>
      <c r="H53" s="26" t="n"/>
      <c r="I53" s="26" t="n"/>
      <c r="J53" s="27" t="n"/>
      <c r="K53" s="27" t="n"/>
      <c r="L53" s="23" t="n"/>
      <c r="M53" s="28">
        <f>IF($A53="","",IF($D53="","Not read",IF($Q53=0,"Not counted",IF(MAX($X53,$Y53)=3,"■ Red",IF(MAX($X53,$Y53)=2,"◧ Amber",IF(MAX($X53,$Y53)=1,"□ On track","Not read"))))))</f>
        <v/>
      </c>
      <c r="N53" s="28">
        <f>IF(OR($A53="",$B53&lt;&gt;"Program"),"","■ "&amp;COUNTIFS($C$6:$C$305,$A53,$M$6:$M$305,"■ Red")&amp;" Red, ◧ "&amp;COUNTIFS($C$6:$C$305,$A53,$M$6:$M$305,"◧ Amber")&amp;" Amber")</f>
        <v/>
      </c>
      <c r="O53" s="29">
        <f>IF(OR($A53="",$E53=""),"",COUNTIFS($E$6:$E$305,$E53,$D$6:$D$305,"Active")+COUNTIFS($E$6:$E$305,$E53,$D$6:$D$305,"Paused"))</f>
        <v/>
      </c>
      <c r="P53" s="28">
        <f>IF($A53="","",IF($AE53=0,"○ Clear",IF($AA53=1,"△ No owner",IF($AC53=1,"△ Check Sits under",IF($AC53=2,"△ Outside the portfolio",IF($AB53=1,"△ No sponsor",IF($AH53=1,"△ Name used twice",IF($AG53=1,"△ Budget only counts under Portfolio","△ No variance note"))))))&amp;IF($AE53&gt;1," (+"&amp;($AE53-1)&amp;" more)","")))</f>
        <v/>
      </c>
      <c r="Q53" s="28">
        <f>IF(AND($A53&lt;&gt;"",OR($D53="Active",$D53="Paused")),1,0)</f>
        <v/>
      </c>
      <c r="R53" s="28">
        <f>IFERROR(INDEX($A$6:$A$305,MATCH(46,$S$6:$S$305,0)),"")</f>
        <v/>
      </c>
      <c r="S53" s="28">
        <f>IF(AND($A53&lt;&gt;"",$B53="Program"),COUNTIFS($B$6:$B53,"Program",$A$6:$A53,"&lt;&gt;"),"")</f>
        <v/>
      </c>
      <c r="T53" s="30">
        <f>IF(AND($A53&lt;&gt;"",$B53="Program"),SUMPRODUCT(MAX(($C$6:$C$305=$A53)*($B$6:$B$305="Project")*($D$6:$D$305&lt;&gt;"Proposed")*$I$6:$I$305)),0)</f>
        <v/>
      </c>
      <c r="U53" s="30">
        <f>IF($I53&lt;&gt;"",$I53,IF($T53&gt;0,$T53,""))</f>
        <v/>
      </c>
      <c r="V53" s="28">
        <f>IF(AND($A53&lt;&gt;"",$B53="Program"),SUMIFS($J$6:$J$305,$C$6:$C$305,$A53,$B$6:$B$305,"Project",$D$6:$D$305,"&lt;&gt;Proposed"),0)</f>
        <v/>
      </c>
      <c r="W53" s="28">
        <f>IF(AND($A53&lt;&gt;"",$B53="Program"),COUNTIFS($C$6:$C$305,$A53,$B$6:$B$305,"Project",$D$6:$D$305,"&lt;&gt;Proposed")-COUNTIFS($C$6:$C$305,$A53,$B$6:$B$305,"Project",$D$6:$D$305,"&lt;&gt;Proposed",$J$6:$J$305,"&gt;=0"),0)</f>
        <v/>
      </c>
      <c r="X53" s="28">
        <f>IF(OR($Q53=0,$H53="",$AF53="Sprint"),0,IF(AND($B53="Project",$H53&lt;TODAY()),3,IF($U53="",0,IF($U53&lt;=$H53,1,IF(NETWORKDAYS($H53,$U53)-1&gt;IF($B53="Program",Checks!$B$7,Checks!$B$6),3,2)))))</f>
        <v/>
      </c>
      <c r="Y53" s="28">
        <f>IF(OR($Q53=0,$K53="",$K53=0,$AF53="Sprint"),0,IF(AND($B53="Project",$J53=""),0,IF(IF($B53="Program",$V53,$J53)&gt;$K53*(1+Checks!$B$8),3,IF(IF($B53="Program",$V53,$J53)&gt;$K53,2,IF(AND($B53="Program",OR($W53&gt;0,$V53=0)),0,1)))))</f>
        <v/>
      </c>
      <c r="Z53" s="28">
        <f>IF($A53="",0,IF($C53="Portfolio",1,IF(AND($B53="Project",$C53&lt;&gt;"",$C53&lt;&gt;"Outside the portfolio"),IFERROR(IF(AND(INDEX($B$6:$B$305,MATCH($C53,$A$6:$A$305,0))="Program",INDEX($C$6:$C$305,MATCH($C53,$A$6:$A$305,0))="Portfolio"),1,0),0),0)))</f>
        <v/>
      </c>
      <c r="AA53" s="28">
        <f>IF(AND($A53&lt;&gt;"",$E53="",OR($Q53=1,$D53="Proposed")),1,0)</f>
        <v/>
      </c>
      <c r="AB53" s="28">
        <f>IF(AND($A53&lt;&gt;"",$B53="Program",$F53="",$Q53=1),1,0)</f>
        <v/>
      </c>
      <c r="AC53" s="28">
        <f>IF(OR($A53="",$D53="Completed",$D53="Terminated"),0,IF($C53="",1,IF($C53="Portfolio",0,IF($C53="Outside the portfolio",IF($Q53=1,2,0),IF($B53="Project",IF(IFERROR(INDEX($B$6:$B$305,MATCH($C53,$A$6:$A$305,0)),"")="Program",0,1),1)))))</f>
        <v/>
      </c>
      <c r="AD53" s="28">
        <f>IF(AND($A53&lt;&gt;"",OR($M53="■ Red",$M53="◧ Amber"),$L53=""),1,0)</f>
        <v/>
      </c>
      <c r="AE53" s="28">
        <f>$AA53+$AB53+IF($AC53&gt;0,1,0)+$AD53+$AG53+$AH53</f>
        <v/>
      </c>
      <c r="AF53" s="25" t="n"/>
      <c r="AG53" s="28">
        <f>IF(AND($A53&lt;&gt;"",$K53&lt;&gt;"",$C53&lt;&gt;"Portfolio",$D53&lt;&gt;"Completed",$D53&lt;&gt;"Terminated"),1,0)</f>
        <v/>
      </c>
      <c r="AH53" s="28">
        <f>IF(AND($A53&lt;&gt;"",COUNTIF($A$6:$A$305,$A53)&gt;1),1,0)</f>
        <v/>
      </c>
      <c r="AI53" s="28">
        <f>IF(AND($A53&lt;&gt;"",$C53="Portfolio"),COUNTIFS($C$6:$C53,"Portfolio",$A$6:$A53,"&lt;&gt;"),"")</f>
        <v/>
      </c>
    </row>
    <row r="54">
      <c r="A54" s="25" t="n"/>
      <c r="B54" s="25" t="n"/>
      <c r="C54" s="25" t="n"/>
      <c r="D54" s="25" t="n"/>
      <c r="E54" s="25" t="n"/>
      <c r="F54" s="25" t="n"/>
      <c r="G54" s="25" t="n"/>
      <c r="H54" s="26" t="n"/>
      <c r="I54" s="26" t="n"/>
      <c r="J54" s="27" t="n"/>
      <c r="K54" s="27" t="n"/>
      <c r="L54" s="23" t="n"/>
      <c r="M54" s="28">
        <f>IF($A54="","",IF($D54="","Not read",IF($Q54=0,"Not counted",IF(MAX($X54,$Y54)=3,"■ Red",IF(MAX($X54,$Y54)=2,"◧ Amber",IF(MAX($X54,$Y54)=1,"□ On track","Not read"))))))</f>
        <v/>
      </c>
      <c r="N54" s="28">
        <f>IF(OR($A54="",$B54&lt;&gt;"Program"),"","■ "&amp;COUNTIFS($C$6:$C$305,$A54,$M$6:$M$305,"■ Red")&amp;" Red, ◧ "&amp;COUNTIFS($C$6:$C$305,$A54,$M$6:$M$305,"◧ Amber")&amp;" Amber")</f>
        <v/>
      </c>
      <c r="O54" s="29">
        <f>IF(OR($A54="",$E54=""),"",COUNTIFS($E$6:$E$305,$E54,$D$6:$D$305,"Active")+COUNTIFS($E$6:$E$305,$E54,$D$6:$D$305,"Paused"))</f>
        <v/>
      </c>
      <c r="P54" s="28">
        <f>IF($A54="","",IF($AE54=0,"○ Clear",IF($AA54=1,"△ No owner",IF($AC54=1,"△ Check Sits under",IF($AC54=2,"△ Outside the portfolio",IF($AB54=1,"△ No sponsor",IF($AH54=1,"△ Name used twice",IF($AG54=1,"△ Budget only counts under Portfolio","△ No variance note"))))))&amp;IF($AE54&gt;1," (+"&amp;($AE54-1)&amp;" more)","")))</f>
        <v/>
      </c>
      <c r="Q54" s="28">
        <f>IF(AND($A54&lt;&gt;"",OR($D54="Active",$D54="Paused")),1,0)</f>
        <v/>
      </c>
      <c r="R54" s="28">
        <f>IFERROR(INDEX($A$6:$A$305,MATCH(47,$S$6:$S$305,0)),"")</f>
        <v/>
      </c>
      <c r="S54" s="28">
        <f>IF(AND($A54&lt;&gt;"",$B54="Program"),COUNTIFS($B$6:$B54,"Program",$A$6:$A54,"&lt;&gt;"),"")</f>
        <v/>
      </c>
      <c r="T54" s="30">
        <f>IF(AND($A54&lt;&gt;"",$B54="Program"),SUMPRODUCT(MAX(($C$6:$C$305=$A54)*($B$6:$B$305="Project")*($D$6:$D$305&lt;&gt;"Proposed")*$I$6:$I$305)),0)</f>
        <v/>
      </c>
      <c r="U54" s="30">
        <f>IF($I54&lt;&gt;"",$I54,IF($T54&gt;0,$T54,""))</f>
        <v/>
      </c>
      <c r="V54" s="28">
        <f>IF(AND($A54&lt;&gt;"",$B54="Program"),SUMIFS($J$6:$J$305,$C$6:$C$305,$A54,$B$6:$B$305,"Project",$D$6:$D$305,"&lt;&gt;Proposed"),0)</f>
        <v/>
      </c>
      <c r="W54" s="28">
        <f>IF(AND($A54&lt;&gt;"",$B54="Program"),COUNTIFS($C$6:$C$305,$A54,$B$6:$B$305,"Project",$D$6:$D$305,"&lt;&gt;Proposed")-COUNTIFS($C$6:$C$305,$A54,$B$6:$B$305,"Project",$D$6:$D$305,"&lt;&gt;Proposed",$J$6:$J$305,"&gt;=0"),0)</f>
        <v/>
      </c>
      <c r="X54" s="28">
        <f>IF(OR($Q54=0,$H54="",$AF54="Sprint"),0,IF(AND($B54="Project",$H54&lt;TODAY()),3,IF($U54="",0,IF($U54&lt;=$H54,1,IF(NETWORKDAYS($H54,$U54)-1&gt;IF($B54="Program",Checks!$B$7,Checks!$B$6),3,2)))))</f>
        <v/>
      </c>
      <c r="Y54" s="28">
        <f>IF(OR($Q54=0,$K54="",$K54=0,$AF54="Sprint"),0,IF(AND($B54="Project",$J54=""),0,IF(IF($B54="Program",$V54,$J54)&gt;$K54*(1+Checks!$B$8),3,IF(IF($B54="Program",$V54,$J54)&gt;$K54,2,IF(AND($B54="Program",OR($W54&gt;0,$V54=0)),0,1)))))</f>
        <v/>
      </c>
      <c r="Z54" s="28">
        <f>IF($A54="",0,IF($C54="Portfolio",1,IF(AND($B54="Project",$C54&lt;&gt;"",$C54&lt;&gt;"Outside the portfolio"),IFERROR(IF(AND(INDEX($B$6:$B$305,MATCH($C54,$A$6:$A$305,0))="Program",INDEX($C$6:$C$305,MATCH($C54,$A$6:$A$305,0))="Portfolio"),1,0),0),0)))</f>
        <v/>
      </c>
      <c r="AA54" s="28">
        <f>IF(AND($A54&lt;&gt;"",$E54="",OR($Q54=1,$D54="Proposed")),1,0)</f>
        <v/>
      </c>
      <c r="AB54" s="28">
        <f>IF(AND($A54&lt;&gt;"",$B54="Program",$F54="",$Q54=1),1,0)</f>
        <v/>
      </c>
      <c r="AC54" s="28">
        <f>IF(OR($A54="",$D54="Completed",$D54="Terminated"),0,IF($C54="",1,IF($C54="Portfolio",0,IF($C54="Outside the portfolio",IF($Q54=1,2,0),IF($B54="Project",IF(IFERROR(INDEX($B$6:$B$305,MATCH($C54,$A$6:$A$305,0)),"")="Program",0,1),1)))))</f>
        <v/>
      </c>
      <c r="AD54" s="28">
        <f>IF(AND($A54&lt;&gt;"",OR($M54="■ Red",$M54="◧ Amber"),$L54=""),1,0)</f>
        <v/>
      </c>
      <c r="AE54" s="28">
        <f>$AA54+$AB54+IF($AC54&gt;0,1,0)+$AD54+$AG54+$AH54</f>
        <v/>
      </c>
      <c r="AF54" s="25" t="n"/>
      <c r="AG54" s="28">
        <f>IF(AND($A54&lt;&gt;"",$K54&lt;&gt;"",$C54&lt;&gt;"Portfolio",$D54&lt;&gt;"Completed",$D54&lt;&gt;"Terminated"),1,0)</f>
        <v/>
      </c>
      <c r="AH54" s="28">
        <f>IF(AND($A54&lt;&gt;"",COUNTIF($A$6:$A$305,$A54)&gt;1),1,0)</f>
        <v/>
      </c>
      <c r="AI54" s="28">
        <f>IF(AND($A54&lt;&gt;"",$C54="Portfolio"),COUNTIFS($C$6:$C54,"Portfolio",$A$6:$A54,"&lt;&gt;"),"")</f>
        <v/>
      </c>
    </row>
    <row r="55">
      <c r="A55" s="25" t="n"/>
      <c r="B55" s="25" t="n"/>
      <c r="C55" s="25" t="n"/>
      <c r="D55" s="25" t="n"/>
      <c r="E55" s="25" t="n"/>
      <c r="F55" s="25" t="n"/>
      <c r="G55" s="25" t="n"/>
      <c r="H55" s="26" t="n"/>
      <c r="I55" s="26" t="n"/>
      <c r="J55" s="27" t="n"/>
      <c r="K55" s="27" t="n"/>
      <c r="L55" s="23" t="n"/>
      <c r="M55" s="28">
        <f>IF($A55="","",IF($D55="","Not read",IF($Q55=0,"Not counted",IF(MAX($X55,$Y55)=3,"■ Red",IF(MAX($X55,$Y55)=2,"◧ Amber",IF(MAX($X55,$Y55)=1,"□ On track","Not read"))))))</f>
        <v/>
      </c>
      <c r="N55" s="28">
        <f>IF(OR($A55="",$B55&lt;&gt;"Program"),"","■ "&amp;COUNTIFS($C$6:$C$305,$A55,$M$6:$M$305,"■ Red")&amp;" Red, ◧ "&amp;COUNTIFS($C$6:$C$305,$A55,$M$6:$M$305,"◧ Amber")&amp;" Amber")</f>
        <v/>
      </c>
      <c r="O55" s="29">
        <f>IF(OR($A55="",$E55=""),"",COUNTIFS($E$6:$E$305,$E55,$D$6:$D$305,"Active")+COUNTIFS($E$6:$E$305,$E55,$D$6:$D$305,"Paused"))</f>
        <v/>
      </c>
      <c r="P55" s="28">
        <f>IF($A55="","",IF($AE55=0,"○ Clear",IF($AA55=1,"△ No owner",IF($AC55=1,"△ Check Sits under",IF($AC55=2,"△ Outside the portfolio",IF($AB55=1,"△ No sponsor",IF($AH55=1,"△ Name used twice",IF($AG55=1,"△ Budget only counts under Portfolio","△ No variance note"))))))&amp;IF($AE55&gt;1," (+"&amp;($AE55-1)&amp;" more)","")))</f>
        <v/>
      </c>
      <c r="Q55" s="28">
        <f>IF(AND($A55&lt;&gt;"",OR($D55="Active",$D55="Paused")),1,0)</f>
        <v/>
      </c>
      <c r="R55" s="28">
        <f>IFERROR(INDEX($A$6:$A$305,MATCH(48,$S$6:$S$305,0)),"")</f>
        <v/>
      </c>
      <c r="S55" s="28">
        <f>IF(AND($A55&lt;&gt;"",$B55="Program"),COUNTIFS($B$6:$B55,"Program",$A$6:$A55,"&lt;&gt;"),"")</f>
        <v/>
      </c>
      <c r="T55" s="30">
        <f>IF(AND($A55&lt;&gt;"",$B55="Program"),SUMPRODUCT(MAX(($C$6:$C$305=$A55)*($B$6:$B$305="Project")*($D$6:$D$305&lt;&gt;"Proposed")*$I$6:$I$305)),0)</f>
        <v/>
      </c>
      <c r="U55" s="30">
        <f>IF($I55&lt;&gt;"",$I55,IF($T55&gt;0,$T55,""))</f>
        <v/>
      </c>
      <c r="V55" s="28">
        <f>IF(AND($A55&lt;&gt;"",$B55="Program"),SUMIFS($J$6:$J$305,$C$6:$C$305,$A55,$B$6:$B$305,"Project",$D$6:$D$305,"&lt;&gt;Proposed"),0)</f>
        <v/>
      </c>
      <c r="W55" s="28">
        <f>IF(AND($A55&lt;&gt;"",$B55="Program"),COUNTIFS($C$6:$C$305,$A55,$B$6:$B$305,"Project",$D$6:$D$305,"&lt;&gt;Proposed")-COUNTIFS($C$6:$C$305,$A55,$B$6:$B$305,"Project",$D$6:$D$305,"&lt;&gt;Proposed",$J$6:$J$305,"&gt;=0"),0)</f>
        <v/>
      </c>
      <c r="X55" s="28">
        <f>IF(OR($Q55=0,$H55="",$AF55="Sprint"),0,IF(AND($B55="Project",$H55&lt;TODAY()),3,IF($U55="",0,IF($U55&lt;=$H55,1,IF(NETWORKDAYS($H55,$U55)-1&gt;IF($B55="Program",Checks!$B$7,Checks!$B$6),3,2)))))</f>
        <v/>
      </c>
      <c r="Y55" s="28">
        <f>IF(OR($Q55=0,$K55="",$K55=0,$AF55="Sprint"),0,IF(AND($B55="Project",$J55=""),0,IF(IF($B55="Program",$V55,$J55)&gt;$K55*(1+Checks!$B$8),3,IF(IF($B55="Program",$V55,$J55)&gt;$K55,2,IF(AND($B55="Program",OR($W55&gt;0,$V55=0)),0,1)))))</f>
        <v/>
      </c>
      <c r="Z55" s="28">
        <f>IF($A55="",0,IF($C55="Portfolio",1,IF(AND($B55="Project",$C55&lt;&gt;"",$C55&lt;&gt;"Outside the portfolio"),IFERROR(IF(AND(INDEX($B$6:$B$305,MATCH($C55,$A$6:$A$305,0))="Program",INDEX($C$6:$C$305,MATCH($C55,$A$6:$A$305,0))="Portfolio"),1,0),0),0)))</f>
        <v/>
      </c>
      <c r="AA55" s="28">
        <f>IF(AND($A55&lt;&gt;"",$E55="",OR($Q55=1,$D55="Proposed")),1,0)</f>
        <v/>
      </c>
      <c r="AB55" s="28">
        <f>IF(AND($A55&lt;&gt;"",$B55="Program",$F55="",$Q55=1),1,0)</f>
        <v/>
      </c>
      <c r="AC55" s="28">
        <f>IF(OR($A55="",$D55="Completed",$D55="Terminated"),0,IF($C55="",1,IF($C55="Portfolio",0,IF($C55="Outside the portfolio",IF($Q55=1,2,0),IF($B55="Project",IF(IFERROR(INDEX($B$6:$B$305,MATCH($C55,$A$6:$A$305,0)),"")="Program",0,1),1)))))</f>
        <v/>
      </c>
      <c r="AD55" s="28">
        <f>IF(AND($A55&lt;&gt;"",OR($M55="■ Red",$M55="◧ Amber"),$L55=""),1,0)</f>
        <v/>
      </c>
      <c r="AE55" s="28">
        <f>$AA55+$AB55+IF($AC55&gt;0,1,0)+$AD55+$AG55+$AH55</f>
        <v/>
      </c>
      <c r="AF55" s="25" t="n"/>
      <c r="AG55" s="28">
        <f>IF(AND($A55&lt;&gt;"",$K55&lt;&gt;"",$C55&lt;&gt;"Portfolio",$D55&lt;&gt;"Completed",$D55&lt;&gt;"Terminated"),1,0)</f>
        <v/>
      </c>
      <c r="AH55" s="28">
        <f>IF(AND($A55&lt;&gt;"",COUNTIF($A$6:$A$305,$A55)&gt;1),1,0)</f>
        <v/>
      </c>
      <c r="AI55" s="28">
        <f>IF(AND($A55&lt;&gt;"",$C55="Portfolio"),COUNTIFS($C$6:$C55,"Portfolio",$A$6:$A55,"&lt;&gt;"),"")</f>
        <v/>
      </c>
    </row>
    <row r="56">
      <c r="A56" s="25" t="n"/>
      <c r="B56" s="25" t="n"/>
      <c r="C56" s="25" t="n"/>
      <c r="D56" s="25" t="n"/>
      <c r="E56" s="25" t="n"/>
      <c r="F56" s="25" t="n"/>
      <c r="G56" s="25" t="n"/>
      <c r="H56" s="26" t="n"/>
      <c r="I56" s="26" t="n"/>
      <c r="J56" s="27" t="n"/>
      <c r="K56" s="27" t="n"/>
      <c r="L56" s="23" t="n"/>
      <c r="M56" s="28">
        <f>IF($A56="","",IF($D56="","Not read",IF($Q56=0,"Not counted",IF(MAX($X56,$Y56)=3,"■ Red",IF(MAX($X56,$Y56)=2,"◧ Amber",IF(MAX($X56,$Y56)=1,"□ On track","Not read"))))))</f>
        <v/>
      </c>
      <c r="N56" s="28">
        <f>IF(OR($A56="",$B56&lt;&gt;"Program"),"","■ "&amp;COUNTIFS($C$6:$C$305,$A56,$M$6:$M$305,"■ Red")&amp;" Red, ◧ "&amp;COUNTIFS($C$6:$C$305,$A56,$M$6:$M$305,"◧ Amber")&amp;" Amber")</f>
        <v/>
      </c>
      <c r="O56" s="29">
        <f>IF(OR($A56="",$E56=""),"",COUNTIFS($E$6:$E$305,$E56,$D$6:$D$305,"Active")+COUNTIFS($E$6:$E$305,$E56,$D$6:$D$305,"Paused"))</f>
        <v/>
      </c>
      <c r="P56" s="28">
        <f>IF($A56="","",IF($AE56=0,"○ Clear",IF($AA56=1,"△ No owner",IF($AC56=1,"△ Check Sits under",IF($AC56=2,"△ Outside the portfolio",IF($AB56=1,"△ No sponsor",IF($AH56=1,"△ Name used twice",IF($AG56=1,"△ Budget only counts under Portfolio","△ No variance note"))))))&amp;IF($AE56&gt;1," (+"&amp;($AE56-1)&amp;" more)","")))</f>
        <v/>
      </c>
      <c r="Q56" s="28">
        <f>IF(AND($A56&lt;&gt;"",OR($D56="Active",$D56="Paused")),1,0)</f>
        <v/>
      </c>
      <c r="R56" s="28">
        <f>IFERROR(INDEX($A$6:$A$305,MATCH(49,$S$6:$S$305,0)),"")</f>
        <v/>
      </c>
      <c r="S56" s="28">
        <f>IF(AND($A56&lt;&gt;"",$B56="Program"),COUNTIFS($B$6:$B56,"Program",$A$6:$A56,"&lt;&gt;"),"")</f>
        <v/>
      </c>
      <c r="T56" s="30">
        <f>IF(AND($A56&lt;&gt;"",$B56="Program"),SUMPRODUCT(MAX(($C$6:$C$305=$A56)*($B$6:$B$305="Project")*($D$6:$D$305&lt;&gt;"Proposed")*$I$6:$I$305)),0)</f>
        <v/>
      </c>
      <c r="U56" s="30">
        <f>IF($I56&lt;&gt;"",$I56,IF($T56&gt;0,$T56,""))</f>
        <v/>
      </c>
      <c r="V56" s="28">
        <f>IF(AND($A56&lt;&gt;"",$B56="Program"),SUMIFS($J$6:$J$305,$C$6:$C$305,$A56,$B$6:$B$305,"Project",$D$6:$D$305,"&lt;&gt;Proposed"),0)</f>
        <v/>
      </c>
      <c r="W56" s="28">
        <f>IF(AND($A56&lt;&gt;"",$B56="Program"),COUNTIFS($C$6:$C$305,$A56,$B$6:$B$305,"Project",$D$6:$D$305,"&lt;&gt;Proposed")-COUNTIFS($C$6:$C$305,$A56,$B$6:$B$305,"Project",$D$6:$D$305,"&lt;&gt;Proposed",$J$6:$J$305,"&gt;=0"),0)</f>
        <v/>
      </c>
      <c r="X56" s="28">
        <f>IF(OR($Q56=0,$H56="",$AF56="Sprint"),0,IF(AND($B56="Project",$H56&lt;TODAY()),3,IF($U56="",0,IF($U56&lt;=$H56,1,IF(NETWORKDAYS($H56,$U56)-1&gt;IF($B56="Program",Checks!$B$7,Checks!$B$6),3,2)))))</f>
        <v/>
      </c>
      <c r="Y56" s="28">
        <f>IF(OR($Q56=0,$K56="",$K56=0,$AF56="Sprint"),0,IF(AND($B56="Project",$J56=""),0,IF(IF($B56="Program",$V56,$J56)&gt;$K56*(1+Checks!$B$8),3,IF(IF($B56="Program",$V56,$J56)&gt;$K56,2,IF(AND($B56="Program",OR($W56&gt;0,$V56=0)),0,1)))))</f>
        <v/>
      </c>
      <c r="Z56" s="28">
        <f>IF($A56="",0,IF($C56="Portfolio",1,IF(AND($B56="Project",$C56&lt;&gt;"",$C56&lt;&gt;"Outside the portfolio"),IFERROR(IF(AND(INDEX($B$6:$B$305,MATCH($C56,$A$6:$A$305,0))="Program",INDEX($C$6:$C$305,MATCH($C56,$A$6:$A$305,0))="Portfolio"),1,0),0),0)))</f>
        <v/>
      </c>
      <c r="AA56" s="28">
        <f>IF(AND($A56&lt;&gt;"",$E56="",OR($Q56=1,$D56="Proposed")),1,0)</f>
        <v/>
      </c>
      <c r="AB56" s="28">
        <f>IF(AND($A56&lt;&gt;"",$B56="Program",$F56="",$Q56=1),1,0)</f>
        <v/>
      </c>
      <c r="AC56" s="28">
        <f>IF(OR($A56="",$D56="Completed",$D56="Terminated"),0,IF($C56="",1,IF($C56="Portfolio",0,IF($C56="Outside the portfolio",IF($Q56=1,2,0),IF($B56="Project",IF(IFERROR(INDEX($B$6:$B$305,MATCH($C56,$A$6:$A$305,0)),"")="Program",0,1),1)))))</f>
        <v/>
      </c>
      <c r="AD56" s="28">
        <f>IF(AND($A56&lt;&gt;"",OR($M56="■ Red",$M56="◧ Amber"),$L56=""),1,0)</f>
        <v/>
      </c>
      <c r="AE56" s="28">
        <f>$AA56+$AB56+IF($AC56&gt;0,1,0)+$AD56+$AG56+$AH56</f>
        <v/>
      </c>
      <c r="AF56" s="25" t="n"/>
      <c r="AG56" s="28">
        <f>IF(AND($A56&lt;&gt;"",$K56&lt;&gt;"",$C56&lt;&gt;"Portfolio",$D56&lt;&gt;"Completed",$D56&lt;&gt;"Terminated"),1,0)</f>
        <v/>
      </c>
      <c r="AH56" s="28">
        <f>IF(AND($A56&lt;&gt;"",COUNTIF($A$6:$A$305,$A56)&gt;1),1,0)</f>
        <v/>
      </c>
      <c r="AI56" s="28">
        <f>IF(AND($A56&lt;&gt;"",$C56="Portfolio"),COUNTIFS($C$6:$C56,"Portfolio",$A$6:$A56,"&lt;&gt;"),"")</f>
        <v/>
      </c>
    </row>
    <row r="57">
      <c r="A57" s="25" t="n"/>
      <c r="B57" s="25" t="n"/>
      <c r="C57" s="25" t="n"/>
      <c r="D57" s="25" t="n"/>
      <c r="E57" s="25" t="n"/>
      <c r="F57" s="25" t="n"/>
      <c r="G57" s="25" t="n"/>
      <c r="H57" s="26" t="n"/>
      <c r="I57" s="26" t="n"/>
      <c r="J57" s="27" t="n"/>
      <c r="K57" s="27" t="n"/>
      <c r="L57" s="23" t="n"/>
      <c r="M57" s="28">
        <f>IF($A57="","",IF($D57="","Not read",IF($Q57=0,"Not counted",IF(MAX($X57,$Y57)=3,"■ Red",IF(MAX($X57,$Y57)=2,"◧ Amber",IF(MAX($X57,$Y57)=1,"□ On track","Not read"))))))</f>
        <v/>
      </c>
      <c r="N57" s="28">
        <f>IF(OR($A57="",$B57&lt;&gt;"Program"),"","■ "&amp;COUNTIFS($C$6:$C$305,$A57,$M$6:$M$305,"■ Red")&amp;" Red, ◧ "&amp;COUNTIFS($C$6:$C$305,$A57,$M$6:$M$305,"◧ Amber")&amp;" Amber")</f>
        <v/>
      </c>
      <c r="O57" s="29">
        <f>IF(OR($A57="",$E57=""),"",COUNTIFS($E$6:$E$305,$E57,$D$6:$D$305,"Active")+COUNTIFS($E$6:$E$305,$E57,$D$6:$D$305,"Paused"))</f>
        <v/>
      </c>
      <c r="P57" s="28">
        <f>IF($A57="","",IF($AE57=0,"○ Clear",IF($AA57=1,"△ No owner",IF($AC57=1,"△ Check Sits under",IF($AC57=2,"△ Outside the portfolio",IF($AB57=1,"△ No sponsor",IF($AH57=1,"△ Name used twice",IF($AG57=1,"△ Budget only counts under Portfolio","△ No variance note"))))))&amp;IF($AE57&gt;1," (+"&amp;($AE57-1)&amp;" more)","")))</f>
        <v/>
      </c>
      <c r="Q57" s="28">
        <f>IF(AND($A57&lt;&gt;"",OR($D57="Active",$D57="Paused")),1,0)</f>
        <v/>
      </c>
      <c r="R57" s="28">
        <f>IFERROR(INDEX($A$6:$A$305,MATCH(50,$S$6:$S$305,0)),"")</f>
        <v/>
      </c>
      <c r="S57" s="28">
        <f>IF(AND($A57&lt;&gt;"",$B57="Program"),COUNTIFS($B$6:$B57,"Program",$A$6:$A57,"&lt;&gt;"),"")</f>
        <v/>
      </c>
      <c r="T57" s="30">
        <f>IF(AND($A57&lt;&gt;"",$B57="Program"),SUMPRODUCT(MAX(($C$6:$C$305=$A57)*($B$6:$B$305="Project")*($D$6:$D$305&lt;&gt;"Proposed")*$I$6:$I$305)),0)</f>
        <v/>
      </c>
      <c r="U57" s="30">
        <f>IF($I57&lt;&gt;"",$I57,IF($T57&gt;0,$T57,""))</f>
        <v/>
      </c>
      <c r="V57" s="28">
        <f>IF(AND($A57&lt;&gt;"",$B57="Program"),SUMIFS($J$6:$J$305,$C$6:$C$305,$A57,$B$6:$B$305,"Project",$D$6:$D$305,"&lt;&gt;Proposed"),0)</f>
        <v/>
      </c>
      <c r="W57" s="28">
        <f>IF(AND($A57&lt;&gt;"",$B57="Program"),COUNTIFS($C$6:$C$305,$A57,$B$6:$B$305,"Project",$D$6:$D$305,"&lt;&gt;Proposed")-COUNTIFS($C$6:$C$305,$A57,$B$6:$B$305,"Project",$D$6:$D$305,"&lt;&gt;Proposed",$J$6:$J$305,"&gt;=0"),0)</f>
        <v/>
      </c>
      <c r="X57" s="28">
        <f>IF(OR($Q57=0,$H57="",$AF57="Sprint"),0,IF(AND($B57="Project",$H57&lt;TODAY()),3,IF($U57="",0,IF($U57&lt;=$H57,1,IF(NETWORKDAYS($H57,$U57)-1&gt;IF($B57="Program",Checks!$B$7,Checks!$B$6),3,2)))))</f>
        <v/>
      </c>
      <c r="Y57" s="28">
        <f>IF(OR($Q57=0,$K57="",$K57=0,$AF57="Sprint"),0,IF(AND($B57="Project",$J57=""),0,IF(IF($B57="Program",$V57,$J57)&gt;$K57*(1+Checks!$B$8),3,IF(IF($B57="Program",$V57,$J57)&gt;$K57,2,IF(AND($B57="Program",OR($W57&gt;0,$V57=0)),0,1)))))</f>
        <v/>
      </c>
      <c r="Z57" s="28">
        <f>IF($A57="",0,IF($C57="Portfolio",1,IF(AND($B57="Project",$C57&lt;&gt;"",$C57&lt;&gt;"Outside the portfolio"),IFERROR(IF(AND(INDEX($B$6:$B$305,MATCH($C57,$A$6:$A$305,0))="Program",INDEX($C$6:$C$305,MATCH($C57,$A$6:$A$305,0))="Portfolio"),1,0),0),0)))</f>
        <v/>
      </c>
      <c r="AA57" s="28">
        <f>IF(AND($A57&lt;&gt;"",$E57="",OR($Q57=1,$D57="Proposed")),1,0)</f>
        <v/>
      </c>
      <c r="AB57" s="28">
        <f>IF(AND($A57&lt;&gt;"",$B57="Program",$F57="",$Q57=1),1,0)</f>
        <v/>
      </c>
      <c r="AC57" s="28">
        <f>IF(OR($A57="",$D57="Completed",$D57="Terminated"),0,IF($C57="",1,IF($C57="Portfolio",0,IF($C57="Outside the portfolio",IF($Q57=1,2,0),IF($B57="Project",IF(IFERROR(INDEX($B$6:$B$305,MATCH($C57,$A$6:$A$305,0)),"")="Program",0,1),1)))))</f>
        <v/>
      </c>
      <c r="AD57" s="28">
        <f>IF(AND($A57&lt;&gt;"",OR($M57="■ Red",$M57="◧ Amber"),$L57=""),1,0)</f>
        <v/>
      </c>
      <c r="AE57" s="28">
        <f>$AA57+$AB57+IF($AC57&gt;0,1,0)+$AD57+$AG57+$AH57</f>
        <v/>
      </c>
      <c r="AF57" s="25" t="n"/>
      <c r="AG57" s="28">
        <f>IF(AND($A57&lt;&gt;"",$K57&lt;&gt;"",$C57&lt;&gt;"Portfolio",$D57&lt;&gt;"Completed",$D57&lt;&gt;"Terminated"),1,0)</f>
        <v/>
      </c>
      <c r="AH57" s="28">
        <f>IF(AND($A57&lt;&gt;"",COUNTIF($A$6:$A$305,$A57)&gt;1),1,0)</f>
        <v/>
      </c>
      <c r="AI57" s="28">
        <f>IF(AND($A57&lt;&gt;"",$C57="Portfolio"),COUNTIFS($C$6:$C57,"Portfolio",$A$6:$A57,"&lt;&gt;"),"")</f>
        <v/>
      </c>
    </row>
    <row r="58">
      <c r="A58" s="25" t="n"/>
      <c r="B58" s="25" t="n"/>
      <c r="C58" s="25" t="n"/>
      <c r="D58" s="25" t="n"/>
      <c r="E58" s="25" t="n"/>
      <c r="F58" s="25" t="n"/>
      <c r="G58" s="25" t="n"/>
      <c r="H58" s="26" t="n"/>
      <c r="I58" s="26" t="n"/>
      <c r="J58" s="27" t="n"/>
      <c r="K58" s="27" t="n"/>
      <c r="L58" s="23" t="n"/>
      <c r="M58" s="28">
        <f>IF($A58="","",IF($D58="","Not read",IF($Q58=0,"Not counted",IF(MAX($X58,$Y58)=3,"■ Red",IF(MAX($X58,$Y58)=2,"◧ Amber",IF(MAX($X58,$Y58)=1,"□ On track","Not read"))))))</f>
        <v/>
      </c>
      <c r="N58" s="28">
        <f>IF(OR($A58="",$B58&lt;&gt;"Program"),"","■ "&amp;COUNTIFS($C$6:$C$305,$A58,$M$6:$M$305,"■ Red")&amp;" Red, ◧ "&amp;COUNTIFS($C$6:$C$305,$A58,$M$6:$M$305,"◧ Amber")&amp;" Amber")</f>
        <v/>
      </c>
      <c r="O58" s="29">
        <f>IF(OR($A58="",$E58=""),"",COUNTIFS($E$6:$E$305,$E58,$D$6:$D$305,"Active")+COUNTIFS($E$6:$E$305,$E58,$D$6:$D$305,"Paused"))</f>
        <v/>
      </c>
      <c r="P58" s="28">
        <f>IF($A58="","",IF($AE58=0,"○ Clear",IF($AA58=1,"△ No owner",IF($AC58=1,"△ Check Sits under",IF($AC58=2,"△ Outside the portfolio",IF($AB58=1,"△ No sponsor",IF($AH58=1,"△ Name used twice",IF($AG58=1,"△ Budget only counts under Portfolio","△ No variance note"))))))&amp;IF($AE58&gt;1," (+"&amp;($AE58-1)&amp;" more)","")))</f>
        <v/>
      </c>
      <c r="Q58" s="28">
        <f>IF(AND($A58&lt;&gt;"",OR($D58="Active",$D58="Paused")),1,0)</f>
        <v/>
      </c>
      <c r="R58" s="28">
        <f>IFERROR(INDEX($A$6:$A$305,MATCH(51,$S$6:$S$305,0)),"")</f>
        <v/>
      </c>
      <c r="S58" s="28">
        <f>IF(AND($A58&lt;&gt;"",$B58="Program"),COUNTIFS($B$6:$B58,"Program",$A$6:$A58,"&lt;&gt;"),"")</f>
        <v/>
      </c>
      <c r="T58" s="30">
        <f>IF(AND($A58&lt;&gt;"",$B58="Program"),SUMPRODUCT(MAX(($C$6:$C$305=$A58)*($B$6:$B$305="Project")*($D$6:$D$305&lt;&gt;"Proposed")*$I$6:$I$305)),0)</f>
        <v/>
      </c>
      <c r="U58" s="30">
        <f>IF($I58&lt;&gt;"",$I58,IF($T58&gt;0,$T58,""))</f>
        <v/>
      </c>
      <c r="V58" s="28">
        <f>IF(AND($A58&lt;&gt;"",$B58="Program"),SUMIFS($J$6:$J$305,$C$6:$C$305,$A58,$B$6:$B$305,"Project",$D$6:$D$305,"&lt;&gt;Proposed"),0)</f>
        <v/>
      </c>
      <c r="W58" s="28">
        <f>IF(AND($A58&lt;&gt;"",$B58="Program"),COUNTIFS($C$6:$C$305,$A58,$B$6:$B$305,"Project",$D$6:$D$305,"&lt;&gt;Proposed")-COUNTIFS($C$6:$C$305,$A58,$B$6:$B$305,"Project",$D$6:$D$305,"&lt;&gt;Proposed",$J$6:$J$305,"&gt;=0"),0)</f>
        <v/>
      </c>
      <c r="X58" s="28">
        <f>IF(OR($Q58=0,$H58="",$AF58="Sprint"),0,IF(AND($B58="Project",$H58&lt;TODAY()),3,IF($U58="",0,IF($U58&lt;=$H58,1,IF(NETWORKDAYS($H58,$U58)-1&gt;IF($B58="Program",Checks!$B$7,Checks!$B$6),3,2)))))</f>
        <v/>
      </c>
      <c r="Y58" s="28">
        <f>IF(OR($Q58=0,$K58="",$K58=0,$AF58="Sprint"),0,IF(AND($B58="Project",$J58=""),0,IF(IF($B58="Program",$V58,$J58)&gt;$K58*(1+Checks!$B$8),3,IF(IF($B58="Program",$V58,$J58)&gt;$K58,2,IF(AND($B58="Program",OR($W58&gt;0,$V58=0)),0,1)))))</f>
        <v/>
      </c>
      <c r="Z58" s="28">
        <f>IF($A58="",0,IF($C58="Portfolio",1,IF(AND($B58="Project",$C58&lt;&gt;"",$C58&lt;&gt;"Outside the portfolio"),IFERROR(IF(AND(INDEX($B$6:$B$305,MATCH($C58,$A$6:$A$305,0))="Program",INDEX($C$6:$C$305,MATCH($C58,$A$6:$A$305,0))="Portfolio"),1,0),0),0)))</f>
        <v/>
      </c>
      <c r="AA58" s="28">
        <f>IF(AND($A58&lt;&gt;"",$E58="",OR($Q58=1,$D58="Proposed")),1,0)</f>
        <v/>
      </c>
      <c r="AB58" s="28">
        <f>IF(AND($A58&lt;&gt;"",$B58="Program",$F58="",$Q58=1),1,0)</f>
        <v/>
      </c>
      <c r="AC58" s="28">
        <f>IF(OR($A58="",$D58="Completed",$D58="Terminated"),0,IF($C58="",1,IF($C58="Portfolio",0,IF($C58="Outside the portfolio",IF($Q58=1,2,0),IF($B58="Project",IF(IFERROR(INDEX($B$6:$B$305,MATCH($C58,$A$6:$A$305,0)),"")="Program",0,1),1)))))</f>
        <v/>
      </c>
      <c r="AD58" s="28">
        <f>IF(AND($A58&lt;&gt;"",OR($M58="■ Red",$M58="◧ Amber"),$L58=""),1,0)</f>
        <v/>
      </c>
      <c r="AE58" s="28">
        <f>$AA58+$AB58+IF($AC58&gt;0,1,0)+$AD58+$AG58+$AH58</f>
        <v/>
      </c>
      <c r="AF58" s="25" t="n"/>
      <c r="AG58" s="28">
        <f>IF(AND($A58&lt;&gt;"",$K58&lt;&gt;"",$C58&lt;&gt;"Portfolio",$D58&lt;&gt;"Completed",$D58&lt;&gt;"Terminated"),1,0)</f>
        <v/>
      </c>
      <c r="AH58" s="28">
        <f>IF(AND($A58&lt;&gt;"",COUNTIF($A$6:$A$305,$A58)&gt;1),1,0)</f>
        <v/>
      </c>
      <c r="AI58" s="28">
        <f>IF(AND($A58&lt;&gt;"",$C58="Portfolio"),COUNTIFS($C$6:$C58,"Portfolio",$A$6:$A58,"&lt;&gt;"),"")</f>
        <v/>
      </c>
    </row>
    <row r="59">
      <c r="A59" s="25" t="n"/>
      <c r="B59" s="25" t="n"/>
      <c r="C59" s="25" t="n"/>
      <c r="D59" s="25" t="n"/>
      <c r="E59" s="25" t="n"/>
      <c r="F59" s="25" t="n"/>
      <c r="G59" s="25" t="n"/>
      <c r="H59" s="26" t="n"/>
      <c r="I59" s="26" t="n"/>
      <c r="J59" s="27" t="n"/>
      <c r="K59" s="27" t="n"/>
      <c r="L59" s="23" t="n"/>
      <c r="M59" s="28">
        <f>IF($A59="","",IF($D59="","Not read",IF($Q59=0,"Not counted",IF(MAX($X59,$Y59)=3,"■ Red",IF(MAX($X59,$Y59)=2,"◧ Amber",IF(MAX($X59,$Y59)=1,"□ On track","Not read"))))))</f>
        <v/>
      </c>
      <c r="N59" s="28">
        <f>IF(OR($A59="",$B59&lt;&gt;"Program"),"","■ "&amp;COUNTIFS($C$6:$C$305,$A59,$M$6:$M$305,"■ Red")&amp;" Red, ◧ "&amp;COUNTIFS($C$6:$C$305,$A59,$M$6:$M$305,"◧ Amber")&amp;" Amber")</f>
        <v/>
      </c>
      <c r="O59" s="29">
        <f>IF(OR($A59="",$E59=""),"",COUNTIFS($E$6:$E$305,$E59,$D$6:$D$305,"Active")+COUNTIFS($E$6:$E$305,$E59,$D$6:$D$305,"Paused"))</f>
        <v/>
      </c>
      <c r="P59" s="28">
        <f>IF($A59="","",IF($AE59=0,"○ Clear",IF($AA59=1,"△ No owner",IF($AC59=1,"△ Check Sits under",IF($AC59=2,"△ Outside the portfolio",IF($AB59=1,"△ No sponsor",IF($AH59=1,"△ Name used twice",IF($AG59=1,"△ Budget only counts under Portfolio","△ No variance note"))))))&amp;IF($AE59&gt;1," (+"&amp;($AE59-1)&amp;" more)","")))</f>
        <v/>
      </c>
      <c r="Q59" s="28">
        <f>IF(AND($A59&lt;&gt;"",OR($D59="Active",$D59="Paused")),1,0)</f>
        <v/>
      </c>
      <c r="R59" s="28">
        <f>IFERROR(INDEX($A$6:$A$305,MATCH(52,$S$6:$S$305,0)),"")</f>
        <v/>
      </c>
      <c r="S59" s="28">
        <f>IF(AND($A59&lt;&gt;"",$B59="Program"),COUNTIFS($B$6:$B59,"Program",$A$6:$A59,"&lt;&gt;"),"")</f>
        <v/>
      </c>
      <c r="T59" s="30">
        <f>IF(AND($A59&lt;&gt;"",$B59="Program"),SUMPRODUCT(MAX(($C$6:$C$305=$A59)*($B$6:$B$305="Project")*($D$6:$D$305&lt;&gt;"Proposed")*$I$6:$I$305)),0)</f>
        <v/>
      </c>
      <c r="U59" s="30">
        <f>IF($I59&lt;&gt;"",$I59,IF($T59&gt;0,$T59,""))</f>
        <v/>
      </c>
      <c r="V59" s="28">
        <f>IF(AND($A59&lt;&gt;"",$B59="Program"),SUMIFS($J$6:$J$305,$C$6:$C$305,$A59,$B$6:$B$305,"Project",$D$6:$D$305,"&lt;&gt;Proposed"),0)</f>
        <v/>
      </c>
      <c r="W59" s="28">
        <f>IF(AND($A59&lt;&gt;"",$B59="Program"),COUNTIFS($C$6:$C$305,$A59,$B$6:$B$305,"Project",$D$6:$D$305,"&lt;&gt;Proposed")-COUNTIFS($C$6:$C$305,$A59,$B$6:$B$305,"Project",$D$6:$D$305,"&lt;&gt;Proposed",$J$6:$J$305,"&gt;=0"),0)</f>
        <v/>
      </c>
      <c r="X59" s="28">
        <f>IF(OR($Q59=0,$H59="",$AF59="Sprint"),0,IF(AND($B59="Project",$H59&lt;TODAY()),3,IF($U59="",0,IF($U59&lt;=$H59,1,IF(NETWORKDAYS($H59,$U59)-1&gt;IF($B59="Program",Checks!$B$7,Checks!$B$6),3,2)))))</f>
        <v/>
      </c>
      <c r="Y59" s="28">
        <f>IF(OR($Q59=0,$K59="",$K59=0,$AF59="Sprint"),0,IF(AND($B59="Project",$J59=""),0,IF(IF($B59="Program",$V59,$J59)&gt;$K59*(1+Checks!$B$8),3,IF(IF($B59="Program",$V59,$J59)&gt;$K59,2,IF(AND($B59="Program",OR($W59&gt;0,$V59=0)),0,1)))))</f>
        <v/>
      </c>
      <c r="Z59" s="28">
        <f>IF($A59="",0,IF($C59="Portfolio",1,IF(AND($B59="Project",$C59&lt;&gt;"",$C59&lt;&gt;"Outside the portfolio"),IFERROR(IF(AND(INDEX($B$6:$B$305,MATCH($C59,$A$6:$A$305,0))="Program",INDEX($C$6:$C$305,MATCH($C59,$A$6:$A$305,0))="Portfolio"),1,0),0),0)))</f>
        <v/>
      </c>
      <c r="AA59" s="28">
        <f>IF(AND($A59&lt;&gt;"",$E59="",OR($Q59=1,$D59="Proposed")),1,0)</f>
        <v/>
      </c>
      <c r="AB59" s="28">
        <f>IF(AND($A59&lt;&gt;"",$B59="Program",$F59="",$Q59=1),1,0)</f>
        <v/>
      </c>
      <c r="AC59" s="28">
        <f>IF(OR($A59="",$D59="Completed",$D59="Terminated"),0,IF($C59="",1,IF($C59="Portfolio",0,IF($C59="Outside the portfolio",IF($Q59=1,2,0),IF($B59="Project",IF(IFERROR(INDEX($B$6:$B$305,MATCH($C59,$A$6:$A$305,0)),"")="Program",0,1),1)))))</f>
        <v/>
      </c>
      <c r="AD59" s="28">
        <f>IF(AND($A59&lt;&gt;"",OR($M59="■ Red",$M59="◧ Amber"),$L59=""),1,0)</f>
        <v/>
      </c>
      <c r="AE59" s="28">
        <f>$AA59+$AB59+IF($AC59&gt;0,1,0)+$AD59+$AG59+$AH59</f>
        <v/>
      </c>
      <c r="AF59" s="25" t="n"/>
      <c r="AG59" s="28">
        <f>IF(AND($A59&lt;&gt;"",$K59&lt;&gt;"",$C59&lt;&gt;"Portfolio",$D59&lt;&gt;"Completed",$D59&lt;&gt;"Terminated"),1,0)</f>
        <v/>
      </c>
      <c r="AH59" s="28">
        <f>IF(AND($A59&lt;&gt;"",COUNTIF($A$6:$A$305,$A59)&gt;1),1,0)</f>
        <v/>
      </c>
      <c r="AI59" s="28">
        <f>IF(AND($A59&lt;&gt;"",$C59="Portfolio"),COUNTIFS($C$6:$C59,"Portfolio",$A$6:$A59,"&lt;&gt;"),"")</f>
        <v/>
      </c>
    </row>
    <row r="60">
      <c r="A60" s="25" t="n"/>
      <c r="B60" s="25" t="n"/>
      <c r="C60" s="25" t="n"/>
      <c r="D60" s="25" t="n"/>
      <c r="E60" s="25" t="n"/>
      <c r="F60" s="25" t="n"/>
      <c r="G60" s="25" t="n"/>
      <c r="H60" s="26" t="n"/>
      <c r="I60" s="26" t="n"/>
      <c r="J60" s="27" t="n"/>
      <c r="K60" s="27" t="n"/>
      <c r="L60" s="23" t="n"/>
      <c r="M60" s="28">
        <f>IF($A60="","",IF($D60="","Not read",IF($Q60=0,"Not counted",IF(MAX($X60,$Y60)=3,"■ Red",IF(MAX($X60,$Y60)=2,"◧ Amber",IF(MAX($X60,$Y60)=1,"□ On track","Not read"))))))</f>
        <v/>
      </c>
      <c r="N60" s="28">
        <f>IF(OR($A60="",$B60&lt;&gt;"Program"),"","■ "&amp;COUNTIFS($C$6:$C$305,$A60,$M$6:$M$305,"■ Red")&amp;" Red, ◧ "&amp;COUNTIFS($C$6:$C$305,$A60,$M$6:$M$305,"◧ Amber")&amp;" Amber")</f>
        <v/>
      </c>
      <c r="O60" s="29">
        <f>IF(OR($A60="",$E60=""),"",COUNTIFS($E$6:$E$305,$E60,$D$6:$D$305,"Active")+COUNTIFS($E$6:$E$305,$E60,$D$6:$D$305,"Paused"))</f>
        <v/>
      </c>
      <c r="P60" s="28">
        <f>IF($A60="","",IF($AE60=0,"○ Clear",IF($AA60=1,"△ No owner",IF($AC60=1,"△ Check Sits under",IF($AC60=2,"△ Outside the portfolio",IF($AB60=1,"△ No sponsor",IF($AH60=1,"△ Name used twice",IF($AG60=1,"△ Budget only counts under Portfolio","△ No variance note"))))))&amp;IF($AE60&gt;1," (+"&amp;($AE60-1)&amp;" more)","")))</f>
        <v/>
      </c>
      <c r="Q60" s="28">
        <f>IF(AND($A60&lt;&gt;"",OR($D60="Active",$D60="Paused")),1,0)</f>
        <v/>
      </c>
      <c r="R60" s="28">
        <f>IFERROR(INDEX($A$6:$A$305,MATCH(53,$S$6:$S$305,0)),"")</f>
        <v/>
      </c>
      <c r="S60" s="28">
        <f>IF(AND($A60&lt;&gt;"",$B60="Program"),COUNTIFS($B$6:$B60,"Program",$A$6:$A60,"&lt;&gt;"),"")</f>
        <v/>
      </c>
      <c r="T60" s="30">
        <f>IF(AND($A60&lt;&gt;"",$B60="Program"),SUMPRODUCT(MAX(($C$6:$C$305=$A60)*($B$6:$B$305="Project")*($D$6:$D$305&lt;&gt;"Proposed")*$I$6:$I$305)),0)</f>
        <v/>
      </c>
      <c r="U60" s="30">
        <f>IF($I60&lt;&gt;"",$I60,IF($T60&gt;0,$T60,""))</f>
        <v/>
      </c>
      <c r="V60" s="28">
        <f>IF(AND($A60&lt;&gt;"",$B60="Program"),SUMIFS($J$6:$J$305,$C$6:$C$305,$A60,$B$6:$B$305,"Project",$D$6:$D$305,"&lt;&gt;Proposed"),0)</f>
        <v/>
      </c>
      <c r="W60" s="28">
        <f>IF(AND($A60&lt;&gt;"",$B60="Program"),COUNTIFS($C$6:$C$305,$A60,$B$6:$B$305,"Project",$D$6:$D$305,"&lt;&gt;Proposed")-COUNTIFS($C$6:$C$305,$A60,$B$6:$B$305,"Project",$D$6:$D$305,"&lt;&gt;Proposed",$J$6:$J$305,"&gt;=0"),0)</f>
        <v/>
      </c>
      <c r="X60" s="28">
        <f>IF(OR($Q60=0,$H60="",$AF60="Sprint"),0,IF(AND($B60="Project",$H60&lt;TODAY()),3,IF($U60="",0,IF($U60&lt;=$H60,1,IF(NETWORKDAYS($H60,$U60)-1&gt;IF($B60="Program",Checks!$B$7,Checks!$B$6),3,2)))))</f>
        <v/>
      </c>
      <c r="Y60" s="28">
        <f>IF(OR($Q60=0,$K60="",$K60=0,$AF60="Sprint"),0,IF(AND($B60="Project",$J60=""),0,IF(IF($B60="Program",$V60,$J60)&gt;$K60*(1+Checks!$B$8),3,IF(IF($B60="Program",$V60,$J60)&gt;$K60,2,IF(AND($B60="Program",OR($W60&gt;0,$V60=0)),0,1)))))</f>
        <v/>
      </c>
      <c r="Z60" s="28">
        <f>IF($A60="",0,IF($C60="Portfolio",1,IF(AND($B60="Project",$C60&lt;&gt;"",$C60&lt;&gt;"Outside the portfolio"),IFERROR(IF(AND(INDEX($B$6:$B$305,MATCH($C60,$A$6:$A$305,0))="Program",INDEX($C$6:$C$305,MATCH($C60,$A$6:$A$305,0))="Portfolio"),1,0),0),0)))</f>
        <v/>
      </c>
      <c r="AA60" s="28">
        <f>IF(AND($A60&lt;&gt;"",$E60="",OR($Q60=1,$D60="Proposed")),1,0)</f>
        <v/>
      </c>
      <c r="AB60" s="28">
        <f>IF(AND($A60&lt;&gt;"",$B60="Program",$F60="",$Q60=1),1,0)</f>
        <v/>
      </c>
      <c r="AC60" s="28">
        <f>IF(OR($A60="",$D60="Completed",$D60="Terminated"),0,IF($C60="",1,IF($C60="Portfolio",0,IF($C60="Outside the portfolio",IF($Q60=1,2,0),IF($B60="Project",IF(IFERROR(INDEX($B$6:$B$305,MATCH($C60,$A$6:$A$305,0)),"")="Program",0,1),1)))))</f>
        <v/>
      </c>
      <c r="AD60" s="28">
        <f>IF(AND($A60&lt;&gt;"",OR($M60="■ Red",$M60="◧ Amber"),$L60=""),1,0)</f>
        <v/>
      </c>
      <c r="AE60" s="28">
        <f>$AA60+$AB60+IF($AC60&gt;0,1,0)+$AD60+$AG60+$AH60</f>
        <v/>
      </c>
      <c r="AF60" s="25" t="n"/>
      <c r="AG60" s="28">
        <f>IF(AND($A60&lt;&gt;"",$K60&lt;&gt;"",$C60&lt;&gt;"Portfolio",$D60&lt;&gt;"Completed",$D60&lt;&gt;"Terminated"),1,0)</f>
        <v/>
      </c>
      <c r="AH60" s="28">
        <f>IF(AND($A60&lt;&gt;"",COUNTIF($A$6:$A$305,$A60)&gt;1),1,0)</f>
        <v/>
      </c>
      <c r="AI60" s="28">
        <f>IF(AND($A60&lt;&gt;"",$C60="Portfolio"),COUNTIFS($C$6:$C60,"Portfolio",$A$6:$A60,"&lt;&gt;"),"")</f>
        <v/>
      </c>
    </row>
    <row r="61">
      <c r="A61" s="25" t="n"/>
      <c r="B61" s="25" t="n"/>
      <c r="C61" s="25" t="n"/>
      <c r="D61" s="25" t="n"/>
      <c r="E61" s="25" t="n"/>
      <c r="F61" s="25" t="n"/>
      <c r="G61" s="25" t="n"/>
      <c r="H61" s="26" t="n"/>
      <c r="I61" s="26" t="n"/>
      <c r="J61" s="27" t="n"/>
      <c r="K61" s="27" t="n"/>
      <c r="L61" s="23" t="n"/>
      <c r="M61" s="28">
        <f>IF($A61="","",IF($D61="","Not read",IF($Q61=0,"Not counted",IF(MAX($X61,$Y61)=3,"■ Red",IF(MAX($X61,$Y61)=2,"◧ Amber",IF(MAX($X61,$Y61)=1,"□ On track","Not read"))))))</f>
        <v/>
      </c>
      <c r="N61" s="28">
        <f>IF(OR($A61="",$B61&lt;&gt;"Program"),"","■ "&amp;COUNTIFS($C$6:$C$305,$A61,$M$6:$M$305,"■ Red")&amp;" Red, ◧ "&amp;COUNTIFS($C$6:$C$305,$A61,$M$6:$M$305,"◧ Amber")&amp;" Amber")</f>
        <v/>
      </c>
      <c r="O61" s="29">
        <f>IF(OR($A61="",$E61=""),"",COUNTIFS($E$6:$E$305,$E61,$D$6:$D$305,"Active")+COUNTIFS($E$6:$E$305,$E61,$D$6:$D$305,"Paused"))</f>
        <v/>
      </c>
      <c r="P61" s="28">
        <f>IF($A61="","",IF($AE61=0,"○ Clear",IF($AA61=1,"△ No owner",IF($AC61=1,"△ Check Sits under",IF($AC61=2,"△ Outside the portfolio",IF($AB61=1,"△ No sponsor",IF($AH61=1,"△ Name used twice",IF($AG61=1,"△ Budget only counts under Portfolio","△ No variance note"))))))&amp;IF($AE61&gt;1," (+"&amp;($AE61-1)&amp;" more)","")))</f>
        <v/>
      </c>
      <c r="Q61" s="28">
        <f>IF(AND($A61&lt;&gt;"",OR($D61="Active",$D61="Paused")),1,0)</f>
        <v/>
      </c>
      <c r="R61" s="28">
        <f>IFERROR(INDEX($A$6:$A$305,MATCH(54,$S$6:$S$305,0)),"")</f>
        <v/>
      </c>
      <c r="S61" s="28">
        <f>IF(AND($A61&lt;&gt;"",$B61="Program"),COUNTIFS($B$6:$B61,"Program",$A$6:$A61,"&lt;&gt;"),"")</f>
        <v/>
      </c>
      <c r="T61" s="30">
        <f>IF(AND($A61&lt;&gt;"",$B61="Program"),SUMPRODUCT(MAX(($C$6:$C$305=$A61)*($B$6:$B$305="Project")*($D$6:$D$305&lt;&gt;"Proposed")*$I$6:$I$305)),0)</f>
        <v/>
      </c>
      <c r="U61" s="30">
        <f>IF($I61&lt;&gt;"",$I61,IF($T61&gt;0,$T61,""))</f>
        <v/>
      </c>
      <c r="V61" s="28">
        <f>IF(AND($A61&lt;&gt;"",$B61="Program"),SUMIFS($J$6:$J$305,$C$6:$C$305,$A61,$B$6:$B$305,"Project",$D$6:$D$305,"&lt;&gt;Proposed"),0)</f>
        <v/>
      </c>
      <c r="W61" s="28">
        <f>IF(AND($A61&lt;&gt;"",$B61="Program"),COUNTIFS($C$6:$C$305,$A61,$B$6:$B$305,"Project",$D$6:$D$305,"&lt;&gt;Proposed")-COUNTIFS($C$6:$C$305,$A61,$B$6:$B$305,"Project",$D$6:$D$305,"&lt;&gt;Proposed",$J$6:$J$305,"&gt;=0"),0)</f>
        <v/>
      </c>
      <c r="X61" s="28">
        <f>IF(OR($Q61=0,$H61="",$AF61="Sprint"),0,IF(AND($B61="Project",$H61&lt;TODAY()),3,IF($U61="",0,IF($U61&lt;=$H61,1,IF(NETWORKDAYS($H61,$U61)-1&gt;IF($B61="Program",Checks!$B$7,Checks!$B$6),3,2)))))</f>
        <v/>
      </c>
      <c r="Y61" s="28">
        <f>IF(OR($Q61=0,$K61="",$K61=0,$AF61="Sprint"),0,IF(AND($B61="Project",$J61=""),0,IF(IF($B61="Program",$V61,$J61)&gt;$K61*(1+Checks!$B$8),3,IF(IF($B61="Program",$V61,$J61)&gt;$K61,2,IF(AND($B61="Program",OR($W61&gt;0,$V61=0)),0,1)))))</f>
        <v/>
      </c>
      <c r="Z61" s="28">
        <f>IF($A61="",0,IF($C61="Portfolio",1,IF(AND($B61="Project",$C61&lt;&gt;"",$C61&lt;&gt;"Outside the portfolio"),IFERROR(IF(AND(INDEX($B$6:$B$305,MATCH($C61,$A$6:$A$305,0))="Program",INDEX($C$6:$C$305,MATCH($C61,$A$6:$A$305,0))="Portfolio"),1,0),0),0)))</f>
        <v/>
      </c>
      <c r="AA61" s="28">
        <f>IF(AND($A61&lt;&gt;"",$E61="",OR($Q61=1,$D61="Proposed")),1,0)</f>
        <v/>
      </c>
      <c r="AB61" s="28">
        <f>IF(AND($A61&lt;&gt;"",$B61="Program",$F61="",$Q61=1),1,0)</f>
        <v/>
      </c>
      <c r="AC61" s="28">
        <f>IF(OR($A61="",$D61="Completed",$D61="Terminated"),0,IF($C61="",1,IF($C61="Portfolio",0,IF($C61="Outside the portfolio",IF($Q61=1,2,0),IF($B61="Project",IF(IFERROR(INDEX($B$6:$B$305,MATCH($C61,$A$6:$A$305,0)),"")="Program",0,1),1)))))</f>
        <v/>
      </c>
      <c r="AD61" s="28">
        <f>IF(AND($A61&lt;&gt;"",OR($M61="■ Red",$M61="◧ Amber"),$L61=""),1,0)</f>
        <v/>
      </c>
      <c r="AE61" s="28">
        <f>$AA61+$AB61+IF($AC61&gt;0,1,0)+$AD61+$AG61+$AH61</f>
        <v/>
      </c>
      <c r="AF61" s="25" t="n"/>
      <c r="AG61" s="28">
        <f>IF(AND($A61&lt;&gt;"",$K61&lt;&gt;"",$C61&lt;&gt;"Portfolio",$D61&lt;&gt;"Completed",$D61&lt;&gt;"Terminated"),1,0)</f>
        <v/>
      </c>
      <c r="AH61" s="28">
        <f>IF(AND($A61&lt;&gt;"",COUNTIF($A$6:$A$305,$A61)&gt;1),1,0)</f>
        <v/>
      </c>
      <c r="AI61" s="28">
        <f>IF(AND($A61&lt;&gt;"",$C61="Portfolio"),COUNTIFS($C$6:$C61,"Portfolio",$A$6:$A61,"&lt;&gt;"),"")</f>
        <v/>
      </c>
    </row>
    <row r="62">
      <c r="A62" s="25" t="n"/>
      <c r="B62" s="25" t="n"/>
      <c r="C62" s="25" t="n"/>
      <c r="D62" s="25" t="n"/>
      <c r="E62" s="25" t="n"/>
      <c r="F62" s="25" t="n"/>
      <c r="G62" s="25" t="n"/>
      <c r="H62" s="26" t="n"/>
      <c r="I62" s="26" t="n"/>
      <c r="J62" s="27" t="n"/>
      <c r="K62" s="27" t="n"/>
      <c r="L62" s="23" t="n"/>
      <c r="M62" s="28">
        <f>IF($A62="","",IF($D62="","Not read",IF($Q62=0,"Not counted",IF(MAX($X62,$Y62)=3,"■ Red",IF(MAX($X62,$Y62)=2,"◧ Amber",IF(MAX($X62,$Y62)=1,"□ On track","Not read"))))))</f>
        <v/>
      </c>
      <c r="N62" s="28">
        <f>IF(OR($A62="",$B62&lt;&gt;"Program"),"","■ "&amp;COUNTIFS($C$6:$C$305,$A62,$M$6:$M$305,"■ Red")&amp;" Red, ◧ "&amp;COUNTIFS($C$6:$C$305,$A62,$M$6:$M$305,"◧ Amber")&amp;" Amber")</f>
        <v/>
      </c>
      <c r="O62" s="29">
        <f>IF(OR($A62="",$E62=""),"",COUNTIFS($E$6:$E$305,$E62,$D$6:$D$305,"Active")+COUNTIFS($E$6:$E$305,$E62,$D$6:$D$305,"Paused"))</f>
        <v/>
      </c>
      <c r="P62" s="28">
        <f>IF($A62="","",IF($AE62=0,"○ Clear",IF($AA62=1,"△ No owner",IF($AC62=1,"△ Check Sits under",IF($AC62=2,"△ Outside the portfolio",IF($AB62=1,"△ No sponsor",IF($AH62=1,"△ Name used twice",IF($AG62=1,"△ Budget only counts under Portfolio","△ No variance note"))))))&amp;IF($AE62&gt;1," (+"&amp;($AE62-1)&amp;" more)","")))</f>
        <v/>
      </c>
      <c r="Q62" s="28">
        <f>IF(AND($A62&lt;&gt;"",OR($D62="Active",$D62="Paused")),1,0)</f>
        <v/>
      </c>
      <c r="R62" s="28">
        <f>IFERROR(INDEX($A$6:$A$305,MATCH(55,$S$6:$S$305,0)),"")</f>
        <v/>
      </c>
      <c r="S62" s="28">
        <f>IF(AND($A62&lt;&gt;"",$B62="Program"),COUNTIFS($B$6:$B62,"Program",$A$6:$A62,"&lt;&gt;"),"")</f>
        <v/>
      </c>
      <c r="T62" s="30">
        <f>IF(AND($A62&lt;&gt;"",$B62="Program"),SUMPRODUCT(MAX(($C$6:$C$305=$A62)*($B$6:$B$305="Project")*($D$6:$D$305&lt;&gt;"Proposed")*$I$6:$I$305)),0)</f>
        <v/>
      </c>
      <c r="U62" s="30">
        <f>IF($I62&lt;&gt;"",$I62,IF($T62&gt;0,$T62,""))</f>
        <v/>
      </c>
      <c r="V62" s="28">
        <f>IF(AND($A62&lt;&gt;"",$B62="Program"),SUMIFS($J$6:$J$305,$C$6:$C$305,$A62,$B$6:$B$305,"Project",$D$6:$D$305,"&lt;&gt;Proposed"),0)</f>
        <v/>
      </c>
      <c r="W62" s="28">
        <f>IF(AND($A62&lt;&gt;"",$B62="Program"),COUNTIFS($C$6:$C$305,$A62,$B$6:$B$305,"Project",$D$6:$D$305,"&lt;&gt;Proposed")-COUNTIFS($C$6:$C$305,$A62,$B$6:$B$305,"Project",$D$6:$D$305,"&lt;&gt;Proposed",$J$6:$J$305,"&gt;=0"),0)</f>
        <v/>
      </c>
      <c r="X62" s="28">
        <f>IF(OR($Q62=0,$H62="",$AF62="Sprint"),0,IF(AND($B62="Project",$H62&lt;TODAY()),3,IF($U62="",0,IF($U62&lt;=$H62,1,IF(NETWORKDAYS($H62,$U62)-1&gt;IF($B62="Program",Checks!$B$7,Checks!$B$6),3,2)))))</f>
        <v/>
      </c>
      <c r="Y62" s="28">
        <f>IF(OR($Q62=0,$K62="",$K62=0,$AF62="Sprint"),0,IF(AND($B62="Project",$J62=""),0,IF(IF($B62="Program",$V62,$J62)&gt;$K62*(1+Checks!$B$8),3,IF(IF($B62="Program",$V62,$J62)&gt;$K62,2,IF(AND($B62="Program",OR($W62&gt;0,$V62=0)),0,1)))))</f>
        <v/>
      </c>
      <c r="Z62" s="28">
        <f>IF($A62="",0,IF($C62="Portfolio",1,IF(AND($B62="Project",$C62&lt;&gt;"",$C62&lt;&gt;"Outside the portfolio"),IFERROR(IF(AND(INDEX($B$6:$B$305,MATCH($C62,$A$6:$A$305,0))="Program",INDEX($C$6:$C$305,MATCH($C62,$A$6:$A$305,0))="Portfolio"),1,0),0),0)))</f>
        <v/>
      </c>
      <c r="AA62" s="28">
        <f>IF(AND($A62&lt;&gt;"",$E62="",OR($Q62=1,$D62="Proposed")),1,0)</f>
        <v/>
      </c>
      <c r="AB62" s="28">
        <f>IF(AND($A62&lt;&gt;"",$B62="Program",$F62="",$Q62=1),1,0)</f>
        <v/>
      </c>
      <c r="AC62" s="28">
        <f>IF(OR($A62="",$D62="Completed",$D62="Terminated"),0,IF($C62="",1,IF($C62="Portfolio",0,IF($C62="Outside the portfolio",IF($Q62=1,2,0),IF($B62="Project",IF(IFERROR(INDEX($B$6:$B$305,MATCH($C62,$A$6:$A$305,0)),"")="Program",0,1),1)))))</f>
        <v/>
      </c>
      <c r="AD62" s="28">
        <f>IF(AND($A62&lt;&gt;"",OR($M62="■ Red",$M62="◧ Amber"),$L62=""),1,0)</f>
        <v/>
      </c>
      <c r="AE62" s="28">
        <f>$AA62+$AB62+IF($AC62&gt;0,1,0)+$AD62+$AG62+$AH62</f>
        <v/>
      </c>
      <c r="AF62" s="25" t="n"/>
      <c r="AG62" s="28">
        <f>IF(AND($A62&lt;&gt;"",$K62&lt;&gt;"",$C62&lt;&gt;"Portfolio",$D62&lt;&gt;"Completed",$D62&lt;&gt;"Terminated"),1,0)</f>
        <v/>
      </c>
      <c r="AH62" s="28">
        <f>IF(AND($A62&lt;&gt;"",COUNTIF($A$6:$A$305,$A62)&gt;1),1,0)</f>
        <v/>
      </c>
      <c r="AI62" s="28">
        <f>IF(AND($A62&lt;&gt;"",$C62="Portfolio"),COUNTIFS($C$6:$C62,"Portfolio",$A$6:$A62,"&lt;&gt;"),"")</f>
        <v/>
      </c>
    </row>
    <row r="63">
      <c r="A63" s="25" t="n"/>
      <c r="B63" s="25" t="n"/>
      <c r="C63" s="25" t="n"/>
      <c r="D63" s="25" t="n"/>
      <c r="E63" s="25" t="n"/>
      <c r="F63" s="25" t="n"/>
      <c r="G63" s="25" t="n"/>
      <c r="H63" s="26" t="n"/>
      <c r="I63" s="26" t="n"/>
      <c r="J63" s="27" t="n"/>
      <c r="K63" s="27" t="n"/>
      <c r="L63" s="23" t="n"/>
      <c r="M63" s="28">
        <f>IF($A63="","",IF($D63="","Not read",IF($Q63=0,"Not counted",IF(MAX($X63,$Y63)=3,"■ Red",IF(MAX($X63,$Y63)=2,"◧ Amber",IF(MAX($X63,$Y63)=1,"□ On track","Not read"))))))</f>
        <v/>
      </c>
      <c r="N63" s="28">
        <f>IF(OR($A63="",$B63&lt;&gt;"Program"),"","■ "&amp;COUNTIFS($C$6:$C$305,$A63,$M$6:$M$305,"■ Red")&amp;" Red, ◧ "&amp;COUNTIFS($C$6:$C$305,$A63,$M$6:$M$305,"◧ Amber")&amp;" Amber")</f>
        <v/>
      </c>
      <c r="O63" s="29">
        <f>IF(OR($A63="",$E63=""),"",COUNTIFS($E$6:$E$305,$E63,$D$6:$D$305,"Active")+COUNTIFS($E$6:$E$305,$E63,$D$6:$D$305,"Paused"))</f>
        <v/>
      </c>
      <c r="P63" s="28">
        <f>IF($A63="","",IF($AE63=0,"○ Clear",IF($AA63=1,"△ No owner",IF($AC63=1,"△ Check Sits under",IF($AC63=2,"△ Outside the portfolio",IF($AB63=1,"△ No sponsor",IF($AH63=1,"△ Name used twice",IF($AG63=1,"△ Budget only counts under Portfolio","△ No variance note"))))))&amp;IF($AE63&gt;1," (+"&amp;($AE63-1)&amp;" more)","")))</f>
        <v/>
      </c>
      <c r="Q63" s="28">
        <f>IF(AND($A63&lt;&gt;"",OR($D63="Active",$D63="Paused")),1,0)</f>
        <v/>
      </c>
      <c r="R63" s="28">
        <f>IFERROR(INDEX($A$6:$A$305,MATCH(56,$S$6:$S$305,0)),"")</f>
        <v/>
      </c>
      <c r="S63" s="28">
        <f>IF(AND($A63&lt;&gt;"",$B63="Program"),COUNTIFS($B$6:$B63,"Program",$A$6:$A63,"&lt;&gt;"),"")</f>
        <v/>
      </c>
      <c r="T63" s="30">
        <f>IF(AND($A63&lt;&gt;"",$B63="Program"),SUMPRODUCT(MAX(($C$6:$C$305=$A63)*($B$6:$B$305="Project")*($D$6:$D$305&lt;&gt;"Proposed")*$I$6:$I$305)),0)</f>
        <v/>
      </c>
      <c r="U63" s="30">
        <f>IF($I63&lt;&gt;"",$I63,IF($T63&gt;0,$T63,""))</f>
        <v/>
      </c>
      <c r="V63" s="28">
        <f>IF(AND($A63&lt;&gt;"",$B63="Program"),SUMIFS($J$6:$J$305,$C$6:$C$305,$A63,$B$6:$B$305,"Project",$D$6:$D$305,"&lt;&gt;Proposed"),0)</f>
        <v/>
      </c>
      <c r="W63" s="28">
        <f>IF(AND($A63&lt;&gt;"",$B63="Program"),COUNTIFS($C$6:$C$305,$A63,$B$6:$B$305,"Project",$D$6:$D$305,"&lt;&gt;Proposed")-COUNTIFS($C$6:$C$305,$A63,$B$6:$B$305,"Project",$D$6:$D$305,"&lt;&gt;Proposed",$J$6:$J$305,"&gt;=0"),0)</f>
        <v/>
      </c>
      <c r="X63" s="28">
        <f>IF(OR($Q63=0,$H63="",$AF63="Sprint"),0,IF(AND($B63="Project",$H63&lt;TODAY()),3,IF($U63="",0,IF($U63&lt;=$H63,1,IF(NETWORKDAYS($H63,$U63)-1&gt;IF($B63="Program",Checks!$B$7,Checks!$B$6),3,2)))))</f>
        <v/>
      </c>
      <c r="Y63" s="28">
        <f>IF(OR($Q63=0,$K63="",$K63=0,$AF63="Sprint"),0,IF(AND($B63="Project",$J63=""),0,IF(IF($B63="Program",$V63,$J63)&gt;$K63*(1+Checks!$B$8),3,IF(IF($B63="Program",$V63,$J63)&gt;$K63,2,IF(AND($B63="Program",OR($W63&gt;0,$V63=0)),0,1)))))</f>
        <v/>
      </c>
      <c r="Z63" s="28">
        <f>IF($A63="",0,IF($C63="Portfolio",1,IF(AND($B63="Project",$C63&lt;&gt;"",$C63&lt;&gt;"Outside the portfolio"),IFERROR(IF(AND(INDEX($B$6:$B$305,MATCH($C63,$A$6:$A$305,0))="Program",INDEX($C$6:$C$305,MATCH($C63,$A$6:$A$305,0))="Portfolio"),1,0),0),0)))</f>
        <v/>
      </c>
      <c r="AA63" s="28">
        <f>IF(AND($A63&lt;&gt;"",$E63="",OR($Q63=1,$D63="Proposed")),1,0)</f>
        <v/>
      </c>
      <c r="AB63" s="28">
        <f>IF(AND($A63&lt;&gt;"",$B63="Program",$F63="",$Q63=1),1,0)</f>
        <v/>
      </c>
      <c r="AC63" s="28">
        <f>IF(OR($A63="",$D63="Completed",$D63="Terminated"),0,IF($C63="",1,IF($C63="Portfolio",0,IF($C63="Outside the portfolio",IF($Q63=1,2,0),IF($B63="Project",IF(IFERROR(INDEX($B$6:$B$305,MATCH($C63,$A$6:$A$305,0)),"")="Program",0,1),1)))))</f>
        <v/>
      </c>
      <c r="AD63" s="28">
        <f>IF(AND($A63&lt;&gt;"",OR($M63="■ Red",$M63="◧ Amber"),$L63=""),1,0)</f>
        <v/>
      </c>
      <c r="AE63" s="28">
        <f>$AA63+$AB63+IF($AC63&gt;0,1,0)+$AD63+$AG63+$AH63</f>
        <v/>
      </c>
      <c r="AF63" s="25" t="n"/>
      <c r="AG63" s="28">
        <f>IF(AND($A63&lt;&gt;"",$K63&lt;&gt;"",$C63&lt;&gt;"Portfolio",$D63&lt;&gt;"Completed",$D63&lt;&gt;"Terminated"),1,0)</f>
        <v/>
      </c>
      <c r="AH63" s="28">
        <f>IF(AND($A63&lt;&gt;"",COUNTIF($A$6:$A$305,$A63)&gt;1),1,0)</f>
        <v/>
      </c>
      <c r="AI63" s="28">
        <f>IF(AND($A63&lt;&gt;"",$C63="Portfolio"),COUNTIFS($C$6:$C63,"Portfolio",$A$6:$A63,"&lt;&gt;"),"")</f>
        <v/>
      </c>
    </row>
    <row r="64">
      <c r="A64" s="25" t="n"/>
      <c r="B64" s="25" t="n"/>
      <c r="C64" s="25" t="n"/>
      <c r="D64" s="25" t="n"/>
      <c r="E64" s="25" t="n"/>
      <c r="F64" s="25" t="n"/>
      <c r="G64" s="25" t="n"/>
      <c r="H64" s="26" t="n"/>
      <c r="I64" s="26" t="n"/>
      <c r="J64" s="27" t="n"/>
      <c r="K64" s="27" t="n"/>
      <c r="L64" s="23" t="n"/>
      <c r="M64" s="28">
        <f>IF($A64="","",IF($D64="","Not read",IF($Q64=0,"Not counted",IF(MAX($X64,$Y64)=3,"■ Red",IF(MAX($X64,$Y64)=2,"◧ Amber",IF(MAX($X64,$Y64)=1,"□ On track","Not read"))))))</f>
        <v/>
      </c>
      <c r="N64" s="28">
        <f>IF(OR($A64="",$B64&lt;&gt;"Program"),"","■ "&amp;COUNTIFS($C$6:$C$305,$A64,$M$6:$M$305,"■ Red")&amp;" Red, ◧ "&amp;COUNTIFS($C$6:$C$305,$A64,$M$6:$M$305,"◧ Amber")&amp;" Amber")</f>
        <v/>
      </c>
      <c r="O64" s="29">
        <f>IF(OR($A64="",$E64=""),"",COUNTIFS($E$6:$E$305,$E64,$D$6:$D$305,"Active")+COUNTIFS($E$6:$E$305,$E64,$D$6:$D$305,"Paused"))</f>
        <v/>
      </c>
      <c r="P64" s="28">
        <f>IF($A64="","",IF($AE64=0,"○ Clear",IF($AA64=1,"△ No owner",IF($AC64=1,"△ Check Sits under",IF($AC64=2,"△ Outside the portfolio",IF($AB64=1,"△ No sponsor",IF($AH64=1,"△ Name used twice",IF($AG64=1,"△ Budget only counts under Portfolio","△ No variance note"))))))&amp;IF($AE64&gt;1," (+"&amp;($AE64-1)&amp;" more)","")))</f>
        <v/>
      </c>
      <c r="Q64" s="28">
        <f>IF(AND($A64&lt;&gt;"",OR($D64="Active",$D64="Paused")),1,0)</f>
        <v/>
      </c>
      <c r="R64" s="28">
        <f>IFERROR(INDEX($A$6:$A$305,MATCH(57,$S$6:$S$305,0)),"")</f>
        <v/>
      </c>
      <c r="S64" s="28">
        <f>IF(AND($A64&lt;&gt;"",$B64="Program"),COUNTIFS($B$6:$B64,"Program",$A$6:$A64,"&lt;&gt;"),"")</f>
        <v/>
      </c>
      <c r="T64" s="30">
        <f>IF(AND($A64&lt;&gt;"",$B64="Program"),SUMPRODUCT(MAX(($C$6:$C$305=$A64)*($B$6:$B$305="Project")*($D$6:$D$305&lt;&gt;"Proposed")*$I$6:$I$305)),0)</f>
        <v/>
      </c>
      <c r="U64" s="30">
        <f>IF($I64&lt;&gt;"",$I64,IF($T64&gt;0,$T64,""))</f>
        <v/>
      </c>
      <c r="V64" s="28">
        <f>IF(AND($A64&lt;&gt;"",$B64="Program"),SUMIFS($J$6:$J$305,$C$6:$C$305,$A64,$B$6:$B$305,"Project",$D$6:$D$305,"&lt;&gt;Proposed"),0)</f>
        <v/>
      </c>
      <c r="W64" s="28">
        <f>IF(AND($A64&lt;&gt;"",$B64="Program"),COUNTIFS($C$6:$C$305,$A64,$B$6:$B$305,"Project",$D$6:$D$305,"&lt;&gt;Proposed")-COUNTIFS($C$6:$C$305,$A64,$B$6:$B$305,"Project",$D$6:$D$305,"&lt;&gt;Proposed",$J$6:$J$305,"&gt;=0"),0)</f>
        <v/>
      </c>
      <c r="X64" s="28">
        <f>IF(OR($Q64=0,$H64="",$AF64="Sprint"),0,IF(AND($B64="Project",$H64&lt;TODAY()),3,IF($U64="",0,IF($U64&lt;=$H64,1,IF(NETWORKDAYS($H64,$U64)-1&gt;IF($B64="Program",Checks!$B$7,Checks!$B$6),3,2)))))</f>
        <v/>
      </c>
      <c r="Y64" s="28">
        <f>IF(OR($Q64=0,$K64="",$K64=0,$AF64="Sprint"),0,IF(AND($B64="Project",$J64=""),0,IF(IF($B64="Program",$V64,$J64)&gt;$K64*(1+Checks!$B$8),3,IF(IF($B64="Program",$V64,$J64)&gt;$K64,2,IF(AND($B64="Program",OR($W64&gt;0,$V64=0)),0,1)))))</f>
        <v/>
      </c>
      <c r="Z64" s="28">
        <f>IF($A64="",0,IF($C64="Portfolio",1,IF(AND($B64="Project",$C64&lt;&gt;"",$C64&lt;&gt;"Outside the portfolio"),IFERROR(IF(AND(INDEX($B$6:$B$305,MATCH($C64,$A$6:$A$305,0))="Program",INDEX($C$6:$C$305,MATCH($C64,$A$6:$A$305,0))="Portfolio"),1,0),0),0)))</f>
        <v/>
      </c>
      <c r="AA64" s="28">
        <f>IF(AND($A64&lt;&gt;"",$E64="",OR($Q64=1,$D64="Proposed")),1,0)</f>
        <v/>
      </c>
      <c r="AB64" s="28">
        <f>IF(AND($A64&lt;&gt;"",$B64="Program",$F64="",$Q64=1),1,0)</f>
        <v/>
      </c>
      <c r="AC64" s="28">
        <f>IF(OR($A64="",$D64="Completed",$D64="Terminated"),0,IF($C64="",1,IF($C64="Portfolio",0,IF($C64="Outside the portfolio",IF($Q64=1,2,0),IF($B64="Project",IF(IFERROR(INDEX($B$6:$B$305,MATCH($C64,$A$6:$A$305,0)),"")="Program",0,1),1)))))</f>
        <v/>
      </c>
      <c r="AD64" s="28">
        <f>IF(AND($A64&lt;&gt;"",OR($M64="■ Red",$M64="◧ Amber"),$L64=""),1,0)</f>
        <v/>
      </c>
      <c r="AE64" s="28">
        <f>$AA64+$AB64+IF($AC64&gt;0,1,0)+$AD64+$AG64+$AH64</f>
        <v/>
      </c>
      <c r="AF64" s="25" t="n"/>
      <c r="AG64" s="28">
        <f>IF(AND($A64&lt;&gt;"",$K64&lt;&gt;"",$C64&lt;&gt;"Portfolio",$D64&lt;&gt;"Completed",$D64&lt;&gt;"Terminated"),1,0)</f>
        <v/>
      </c>
      <c r="AH64" s="28">
        <f>IF(AND($A64&lt;&gt;"",COUNTIF($A$6:$A$305,$A64)&gt;1),1,0)</f>
        <v/>
      </c>
      <c r="AI64" s="28">
        <f>IF(AND($A64&lt;&gt;"",$C64="Portfolio"),COUNTIFS($C$6:$C64,"Portfolio",$A$6:$A64,"&lt;&gt;"),"")</f>
        <v/>
      </c>
    </row>
    <row r="65">
      <c r="A65" s="25" t="n"/>
      <c r="B65" s="25" t="n"/>
      <c r="C65" s="25" t="n"/>
      <c r="D65" s="25" t="n"/>
      <c r="E65" s="25" t="n"/>
      <c r="F65" s="25" t="n"/>
      <c r="G65" s="25" t="n"/>
      <c r="H65" s="26" t="n"/>
      <c r="I65" s="26" t="n"/>
      <c r="J65" s="27" t="n"/>
      <c r="K65" s="27" t="n"/>
      <c r="L65" s="23" t="n"/>
      <c r="M65" s="28">
        <f>IF($A65="","",IF($D65="","Not read",IF($Q65=0,"Not counted",IF(MAX($X65,$Y65)=3,"■ Red",IF(MAX($X65,$Y65)=2,"◧ Amber",IF(MAX($X65,$Y65)=1,"□ On track","Not read"))))))</f>
        <v/>
      </c>
      <c r="N65" s="28">
        <f>IF(OR($A65="",$B65&lt;&gt;"Program"),"","■ "&amp;COUNTIFS($C$6:$C$305,$A65,$M$6:$M$305,"■ Red")&amp;" Red, ◧ "&amp;COUNTIFS($C$6:$C$305,$A65,$M$6:$M$305,"◧ Amber")&amp;" Amber")</f>
        <v/>
      </c>
      <c r="O65" s="29">
        <f>IF(OR($A65="",$E65=""),"",COUNTIFS($E$6:$E$305,$E65,$D$6:$D$305,"Active")+COUNTIFS($E$6:$E$305,$E65,$D$6:$D$305,"Paused"))</f>
        <v/>
      </c>
      <c r="P65" s="28">
        <f>IF($A65="","",IF($AE65=0,"○ Clear",IF($AA65=1,"△ No owner",IF($AC65=1,"△ Check Sits under",IF($AC65=2,"△ Outside the portfolio",IF($AB65=1,"△ No sponsor",IF($AH65=1,"△ Name used twice",IF($AG65=1,"△ Budget only counts under Portfolio","△ No variance note"))))))&amp;IF($AE65&gt;1," (+"&amp;($AE65-1)&amp;" more)","")))</f>
        <v/>
      </c>
      <c r="Q65" s="28">
        <f>IF(AND($A65&lt;&gt;"",OR($D65="Active",$D65="Paused")),1,0)</f>
        <v/>
      </c>
      <c r="R65" s="28">
        <f>IFERROR(INDEX($A$6:$A$305,MATCH(58,$S$6:$S$305,0)),"")</f>
        <v/>
      </c>
      <c r="S65" s="28">
        <f>IF(AND($A65&lt;&gt;"",$B65="Program"),COUNTIFS($B$6:$B65,"Program",$A$6:$A65,"&lt;&gt;"),"")</f>
        <v/>
      </c>
      <c r="T65" s="30">
        <f>IF(AND($A65&lt;&gt;"",$B65="Program"),SUMPRODUCT(MAX(($C$6:$C$305=$A65)*($B$6:$B$305="Project")*($D$6:$D$305&lt;&gt;"Proposed")*$I$6:$I$305)),0)</f>
        <v/>
      </c>
      <c r="U65" s="30">
        <f>IF($I65&lt;&gt;"",$I65,IF($T65&gt;0,$T65,""))</f>
        <v/>
      </c>
      <c r="V65" s="28">
        <f>IF(AND($A65&lt;&gt;"",$B65="Program"),SUMIFS($J$6:$J$305,$C$6:$C$305,$A65,$B$6:$B$305,"Project",$D$6:$D$305,"&lt;&gt;Proposed"),0)</f>
        <v/>
      </c>
      <c r="W65" s="28">
        <f>IF(AND($A65&lt;&gt;"",$B65="Program"),COUNTIFS($C$6:$C$305,$A65,$B$6:$B$305,"Project",$D$6:$D$305,"&lt;&gt;Proposed")-COUNTIFS($C$6:$C$305,$A65,$B$6:$B$305,"Project",$D$6:$D$305,"&lt;&gt;Proposed",$J$6:$J$305,"&gt;=0"),0)</f>
        <v/>
      </c>
      <c r="X65" s="28">
        <f>IF(OR($Q65=0,$H65="",$AF65="Sprint"),0,IF(AND($B65="Project",$H65&lt;TODAY()),3,IF($U65="",0,IF($U65&lt;=$H65,1,IF(NETWORKDAYS($H65,$U65)-1&gt;IF($B65="Program",Checks!$B$7,Checks!$B$6),3,2)))))</f>
        <v/>
      </c>
      <c r="Y65" s="28">
        <f>IF(OR($Q65=0,$K65="",$K65=0,$AF65="Sprint"),0,IF(AND($B65="Project",$J65=""),0,IF(IF($B65="Program",$V65,$J65)&gt;$K65*(1+Checks!$B$8),3,IF(IF($B65="Program",$V65,$J65)&gt;$K65,2,IF(AND($B65="Program",OR($W65&gt;0,$V65=0)),0,1)))))</f>
        <v/>
      </c>
      <c r="Z65" s="28">
        <f>IF($A65="",0,IF($C65="Portfolio",1,IF(AND($B65="Project",$C65&lt;&gt;"",$C65&lt;&gt;"Outside the portfolio"),IFERROR(IF(AND(INDEX($B$6:$B$305,MATCH($C65,$A$6:$A$305,0))="Program",INDEX($C$6:$C$305,MATCH($C65,$A$6:$A$305,0))="Portfolio"),1,0),0),0)))</f>
        <v/>
      </c>
      <c r="AA65" s="28">
        <f>IF(AND($A65&lt;&gt;"",$E65="",OR($Q65=1,$D65="Proposed")),1,0)</f>
        <v/>
      </c>
      <c r="AB65" s="28">
        <f>IF(AND($A65&lt;&gt;"",$B65="Program",$F65="",$Q65=1),1,0)</f>
        <v/>
      </c>
      <c r="AC65" s="28">
        <f>IF(OR($A65="",$D65="Completed",$D65="Terminated"),0,IF($C65="",1,IF($C65="Portfolio",0,IF($C65="Outside the portfolio",IF($Q65=1,2,0),IF($B65="Project",IF(IFERROR(INDEX($B$6:$B$305,MATCH($C65,$A$6:$A$305,0)),"")="Program",0,1),1)))))</f>
        <v/>
      </c>
      <c r="AD65" s="28">
        <f>IF(AND($A65&lt;&gt;"",OR($M65="■ Red",$M65="◧ Amber"),$L65=""),1,0)</f>
        <v/>
      </c>
      <c r="AE65" s="28">
        <f>$AA65+$AB65+IF($AC65&gt;0,1,0)+$AD65+$AG65+$AH65</f>
        <v/>
      </c>
      <c r="AF65" s="25" t="n"/>
      <c r="AG65" s="28">
        <f>IF(AND($A65&lt;&gt;"",$K65&lt;&gt;"",$C65&lt;&gt;"Portfolio",$D65&lt;&gt;"Completed",$D65&lt;&gt;"Terminated"),1,0)</f>
        <v/>
      </c>
      <c r="AH65" s="28">
        <f>IF(AND($A65&lt;&gt;"",COUNTIF($A$6:$A$305,$A65)&gt;1),1,0)</f>
        <v/>
      </c>
      <c r="AI65" s="28">
        <f>IF(AND($A65&lt;&gt;"",$C65="Portfolio"),COUNTIFS($C$6:$C65,"Portfolio",$A$6:$A65,"&lt;&gt;"),"")</f>
        <v/>
      </c>
    </row>
    <row r="66">
      <c r="A66" s="25" t="n"/>
      <c r="B66" s="25" t="n"/>
      <c r="C66" s="25" t="n"/>
      <c r="D66" s="25" t="n"/>
      <c r="E66" s="25" t="n"/>
      <c r="F66" s="25" t="n"/>
      <c r="G66" s="25" t="n"/>
      <c r="H66" s="26" t="n"/>
      <c r="I66" s="26" t="n"/>
      <c r="J66" s="27" t="n"/>
      <c r="K66" s="27" t="n"/>
      <c r="L66" s="23" t="n"/>
      <c r="M66" s="28">
        <f>IF($A66="","",IF($D66="","Not read",IF($Q66=0,"Not counted",IF(MAX($X66,$Y66)=3,"■ Red",IF(MAX($X66,$Y66)=2,"◧ Amber",IF(MAX($X66,$Y66)=1,"□ On track","Not read"))))))</f>
        <v/>
      </c>
      <c r="N66" s="28">
        <f>IF(OR($A66="",$B66&lt;&gt;"Program"),"","■ "&amp;COUNTIFS($C$6:$C$305,$A66,$M$6:$M$305,"■ Red")&amp;" Red, ◧ "&amp;COUNTIFS($C$6:$C$305,$A66,$M$6:$M$305,"◧ Amber")&amp;" Amber")</f>
        <v/>
      </c>
      <c r="O66" s="29">
        <f>IF(OR($A66="",$E66=""),"",COUNTIFS($E$6:$E$305,$E66,$D$6:$D$305,"Active")+COUNTIFS($E$6:$E$305,$E66,$D$6:$D$305,"Paused"))</f>
        <v/>
      </c>
      <c r="P66" s="28">
        <f>IF($A66="","",IF($AE66=0,"○ Clear",IF($AA66=1,"△ No owner",IF($AC66=1,"△ Check Sits under",IF($AC66=2,"△ Outside the portfolio",IF($AB66=1,"△ No sponsor",IF($AH66=1,"△ Name used twice",IF($AG66=1,"△ Budget only counts under Portfolio","△ No variance note"))))))&amp;IF($AE66&gt;1," (+"&amp;($AE66-1)&amp;" more)","")))</f>
        <v/>
      </c>
      <c r="Q66" s="28">
        <f>IF(AND($A66&lt;&gt;"",OR($D66="Active",$D66="Paused")),1,0)</f>
        <v/>
      </c>
      <c r="R66" s="28">
        <f>IFERROR(INDEX($A$6:$A$305,MATCH(59,$S$6:$S$305,0)),"")</f>
        <v/>
      </c>
      <c r="S66" s="28">
        <f>IF(AND($A66&lt;&gt;"",$B66="Program"),COUNTIFS($B$6:$B66,"Program",$A$6:$A66,"&lt;&gt;"),"")</f>
        <v/>
      </c>
      <c r="T66" s="30">
        <f>IF(AND($A66&lt;&gt;"",$B66="Program"),SUMPRODUCT(MAX(($C$6:$C$305=$A66)*($B$6:$B$305="Project")*($D$6:$D$305&lt;&gt;"Proposed")*$I$6:$I$305)),0)</f>
        <v/>
      </c>
      <c r="U66" s="30">
        <f>IF($I66&lt;&gt;"",$I66,IF($T66&gt;0,$T66,""))</f>
        <v/>
      </c>
      <c r="V66" s="28">
        <f>IF(AND($A66&lt;&gt;"",$B66="Program"),SUMIFS($J$6:$J$305,$C$6:$C$305,$A66,$B$6:$B$305,"Project",$D$6:$D$305,"&lt;&gt;Proposed"),0)</f>
        <v/>
      </c>
      <c r="W66" s="28">
        <f>IF(AND($A66&lt;&gt;"",$B66="Program"),COUNTIFS($C$6:$C$305,$A66,$B$6:$B$305,"Project",$D$6:$D$305,"&lt;&gt;Proposed")-COUNTIFS($C$6:$C$305,$A66,$B$6:$B$305,"Project",$D$6:$D$305,"&lt;&gt;Proposed",$J$6:$J$305,"&gt;=0"),0)</f>
        <v/>
      </c>
      <c r="X66" s="28">
        <f>IF(OR($Q66=0,$H66="",$AF66="Sprint"),0,IF(AND($B66="Project",$H66&lt;TODAY()),3,IF($U66="",0,IF($U66&lt;=$H66,1,IF(NETWORKDAYS($H66,$U66)-1&gt;IF($B66="Program",Checks!$B$7,Checks!$B$6),3,2)))))</f>
        <v/>
      </c>
      <c r="Y66" s="28">
        <f>IF(OR($Q66=0,$K66="",$K66=0,$AF66="Sprint"),0,IF(AND($B66="Project",$J66=""),0,IF(IF($B66="Program",$V66,$J66)&gt;$K66*(1+Checks!$B$8),3,IF(IF($B66="Program",$V66,$J66)&gt;$K66,2,IF(AND($B66="Program",OR($W66&gt;0,$V66=0)),0,1)))))</f>
        <v/>
      </c>
      <c r="Z66" s="28">
        <f>IF($A66="",0,IF($C66="Portfolio",1,IF(AND($B66="Project",$C66&lt;&gt;"",$C66&lt;&gt;"Outside the portfolio"),IFERROR(IF(AND(INDEX($B$6:$B$305,MATCH($C66,$A$6:$A$305,0))="Program",INDEX($C$6:$C$305,MATCH($C66,$A$6:$A$305,0))="Portfolio"),1,0),0),0)))</f>
        <v/>
      </c>
      <c r="AA66" s="28">
        <f>IF(AND($A66&lt;&gt;"",$E66="",OR($Q66=1,$D66="Proposed")),1,0)</f>
        <v/>
      </c>
      <c r="AB66" s="28">
        <f>IF(AND($A66&lt;&gt;"",$B66="Program",$F66="",$Q66=1),1,0)</f>
        <v/>
      </c>
      <c r="AC66" s="28">
        <f>IF(OR($A66="",$D66="Completed",$D66="Terminated"),0,IF($C66="",1,IF($C66="Portfolio",0,IF($C66="Outside the portfolio",IF($Q66=1,2,0),IF($B66="Project",IF(IFERROR(INDEX($B$6:$B$305,MATCH($C66,$A$6:$A$305,0)),"")="Program",0,1),1)))))</f>
        <v/>
      </c>
      <c r="AD66" s="28">
        <f>IF(AND($A66&lt;&gt;"",OR($M66="■ Red",$M66="◧ Amber"),$L66=""),1,0)</f>
        <v/>
      </c>
      <c r="AE66" s="28">
        <f>$AA66+$AB66+IF($AC66&gt;0,1,0)+$AD66+$AG66+$AH66</f>
        <v/>
      </c>
      <c r="AF66" s="25" t="n"/>
      <c r="AG66" s="28">
        <f>IF(AND($A66&lt;&gt;"",$K66&lt;&gt;"",$C66&lt;&gt;"Portfolio",$D66&lt;&gt;"Completed",$D66&lt;&gt;"Terminated"),1,0)</f>
        <v/>
      </c>
      <c r="AH66" s="28">
        <f>IF(AND($A66&lt;&gt;"",COUNTIF($A$6:$A$305,$A66)&gt;1),1,0)</f>
        <v/>
      </c>
      <c r="AI66" s="28">
        <f>IF(AND($A66&lt;&gt;"",$C66="Portfolio"),COUNTIFS($C$6:$C66,"Portfolio",$A$6:$A66,"&lt;&gt;"),"")</f>
        <v/>
      </c>
    </row>
    <row r="67">
      <c r="A67" s="25" t="n"/>
      <c r="B67" s="25" t="n"/>
      <c r="C67" s="25" t="n"/>
      <c r="D67" s="25" t="n"/>
      <c r="E67" s="25" t="n"/>
      <c r="F67" s="25" t="n"/>
      <c r="G67" s="25" t="n"/>
      <c r="H67" s="26" t="n"/>
      <c r="I67" s="26" t="n"/>
      <c r="J67" s="27" t="n"/>
      <c r="K67" s="27" t="n"/>
      <c r="L67" s="23" t="n"/>
      <c r="M67" s="28">
        <f>IF($A67="","",IF($D67="","Not read",IF($Q67=0,"Not counted",IF(MAX($X67,$Y67)=3,"■ Red",IF(MAX($X67,$Y67)=2,"◧ Amber",IF(MAX($X67,$Y67)=1,"□ On track","Not read"))))))</f>
        <v/>
      </c>
      <c r="N67" s="28">
        <f>IF(OR($A67="",$B67&lt;&gt;"Program"),"","■ "&amp;COUNTIFS($C$6:$C$305,$A67,$M$6:$M$305,"■ Red")&amp;" Red, ◧ "&amp;COUNTIFS($C$6:$C$305,$A67,$M$6:$M$305,"◧ Amber")&amp;" Amber")</f>
        <v/>
      </c>
      <c r="O67" s="29">
        <f>IF(OR($A67="",$E67=""),"",COUNTIFS($E$6:$E$305,$E67,$D$6:$D$305,"Active")+COUNTIFS($E$6:$E$305,$E67,$D$6:$D$305,"Paused"))</f>
        <v/>
      </c>
      <c r="P67" s="28">
        <f>IF($A67="","",IF($AE67=0,"○ Clear",IF($AA67=1,"△ No owner",IF($AC67=1,"△ Check Sits under",IF($AC67=2,"△ Outside the portfolio",IF($AB67=1,"△ No sponsor",IF($AH67=1,"△ Name used twice",IF($AG67=1,"△ Budget only counts under Portfolio","△ No variance note"))))))&amp;IF($AE67&gt;1," (+"&amp;($AE67-1)&amp;" more)","")))</f>
        <v/>
      </c>
      <c r="Q67" s="28">
        <f>IF(AND($A67&lt;&gt;"",OR($D67="Active",$D67="Paused")),1,0)</f>
        <v/>
      </c>
      <c r="R67" s="28">
        <f>IFERROR(INDEX($A$6:$A$305,MATCH(60,$S$6:$S$305,0)),"")</f>
        <v/>
      </c>
      <c r="S67" s="28">
        <f>IF(AND($A67&lt;&gt;"",$B67="Program"),COUNTIFS($B$6:$B67,"Program",$A$6:$A67,"&lt;&gt;"),"")</f>
        <v/>
      </c>
      <c r="T67" s="30">
        <f>IF(AND($A67&lt;&gt;"",$B67="Program"),SUMPRODUCT(MAX(($C$6:$C$305=$A67)*($B$6:$B$305="Project")*($D$6:$D$305&lt;&gt;"Proposed")*$I$6:$I$305)),0)</f>
        <v/>
      </c>
      <c r="U67" s="30">
        <f>IF($I67&lt;&gt;"",$I67,IF($T67&gt;0,$T67,""))</f>
        <v/>
      </c>
      <c r="V67" s="28">
        <f>IF(AND($A67&lt;&gt;"",$B67="Program"),SUMIFS($J$6:$J$305,$C$6:$C$305,$A67,$B$6:$B$305,"Project",$D$6:$D$305,"&lt;&gt;Proposed"),0)</f>
        <v/>
      </c>
      <c r="W67" s="28">
        <f>IF(AND($A67&lt;&gt;"",$B67="Program"),COUNTIFS($C$6:$C$305,$A67,$B$6:$B$305,"Project",$D$6:$D$305,"&lt;&gt;Proposed")-COUNTIFS($C$6:$C$305,$A67,$B$6:$B$305,"Project",$D$6:$D$305,"&lt;&gt;Proposed",$J$6:$J$305,"&gt;=0"),0)</f>
        <v/>
      </c>
      <c r="X67" s="28">
        <f>IF(OR($Q67=0,$H67="",$AF67="Sprint"),0,IF(AND($B67="Project",$H67&lt;TODAY()),3,IF($U67="",0,IF($U67&lt;=$H67,1,IF(NETWORKDAYS($H67,$U67)-1&gt;IF($B67="Program",Checks!$B$7,Checks!$B$6),3,2)))))</f>
        <v/>
      </c>
      <c r="Y67" s="28">
        <f>IF(OR($Q67=0,$K67="",$K67=0,$AF67="Sprint"),0,IF(AND($B67="Project",$J67=""),0,IF(IF($B67="Program",$V67,$J67)&gt;$K67*(1+Checks!$B$8),3,IF(IF($B67="Program",$V67,$J67)&gt;$K67,2,IF(AND($B67="Program",OR($W67&gt;0,$V67=0)),0,1)))))</f>
        <v/>
      </c>
      <c r="Z67" s="28">
        <f>IF($A67="",0,IF($C67="Portfolio",1,IF(AND($B67="Project",$C67&lt;&gt;"",$C67&lt;&gt;"Outside the portfolio"),IFERROR(IF(AND(INDEX($B$6:$B$305,MATCH($C67,$A$6:$A$305,0))="Program",INDEX($C$6:$C$305,MATCH($C67,$A$6:$A$305,0))="Portfolio"),1,0),0),0)))</f>
        <v/>
      </c>
      <c r="AA67" s="28">
        <f>IF(AND($A67&lt;&gt;"",$E67="",OR($Q67=1,$D67="Proposed")),1,0)</f>
        <v/>
      </c>
      <c r="AB67" s="28">
        <f>IF(AND($A67&lt;&gt;"",$B67="Program",$F67="",$Q67=1),1,0)</f>
        <v/>
      </c>
      <c r="AC67" s="28">
        <f>IF(OR($A67="",$D67="Completed",$D67="Terminated"),0,IF($C67="",1,IF($C67="Portfolio",0,IF($C67="Outside the portfolio",IF($Q67=1,2,0),IF($B67="Project",IF(IFERROR(INDEX($B$6:$B$305,MATCH($C67,$A$6:$A$305,0)),"")="Program",0,1),1)))))</f>
        <v/>
      </c>
      <c r="AD67" s="28">
        <f>IF(AND($A67&lt;&gt;"",OR($M67="■ Red",$M67="◧ Amber"),$L67=""),1,0)</f>
        <v/>
      </c>
      <c r="AE67" s="28">
        <f>$AA67+$AB67+IF($AC67&gt;0,1,0)+$AD67+$AG67+$AH67</f>
        <v/>
      </c>
      <c r="AF67" s="25" t="n"/>
      <c r="AG67" s="28">
        <f>IF(AND($A67&lt;&gt;"",$K67&lt;&gt;"",$C67&lt;&gt;"Portfolio",$D67&lt;&gt;"Completed",$D67&lt;&gt;"Terminated"),1,0)</f>
        <v/>
      </c>
      <c r="AH67" s="28">
        <f>IF(AND($A67&lt;&gt;"",COUNTIF($A$6:$A$305,$A67)&gt;1),1,0)</f>
        <v/>
      </c>
      <c r="AI67" s="28">
        <f>IF(AND($A67&lt;&gt;"",$C67="Portfolio"),COUNTIFS($C$6:$C67,"Portfolio",$A$6:$A67,"&lt;&gt;"),"")</f>
        <v/>
      </c>
    </row>
    <row r="68">
      <c r="A68" s="25" t="n"/>
      <c r="B68" s="25" t="n"/>
      <c r="C68" s="25" t="n"/>
      <c r="D68" s="25" t="n"/>
      <c r="E68" s="25" t="n"/>
      <c r="F68" s="25" t="n"/>
      <c r="G68" s="25" t="n"/>
      <c r="H68" s="26" t="n"/>
      <c r="I68" s="26" t="n"/>
      <c r="J68" s="27" t="n"/>
      <c r="K68" s="27" t="n"/>
      <c r="L68" s="23" t="n"/>
      <c r="M68" s="28">
        <f>IF($A68="","",IF($D68="","Not read",IF($Q68=0,"Not counted",IF(MAX($X68,$Y68)=3,"■ Red",IF(MAX($X68,$Y68)=2,"◧ Amber",IF(MAX($X68,$Y68)=1,"□ On track","Not read"))))))</f>
        <v/>
      </c>
      <c r="N68" s="28">
        <f>IF(OR($A68="",$B68&lt;&gt;"Program"),"","■ "&amp;COUNTIFS($C$6:$C$305,$A68,$M$6:$M$305,"■ Red")&amp;" Red, ◧ "&amp;COUNTIFS($C$6:$C$305,$A68,$M$6:$M$305,"◧ Amber")&amp;" Amber")</f>
        <v/>
      </c>
      <c r="O68" s="29">
        <f>IF(OR($A68="",$E68=""),"",COUNTIFS($E$6:$E$305,$E68,$D$6:$D$305,"Active")+COUNTIFS($E$6:$E$305,$E68,$D$6:$D$305,"Paused"))</f>
        <v/>
      </c>
      <c r="P68" s="28">
        <f>IF($A68="","",IF($AE68=0,"○ Clear",IF($AA68=1,"△ No owner",IF($AC68=1,"△ Check Sits under",IF($AC68=2,"△ Outside the portfolio",IF($AB68=1,"△ No sponsor",IF($AH68=1,"△ Name used twice",IF($AG68=1,"△ Budget only counts under Portfolio","△ No variance note"))))))&amp;IF($AE68&gt;1," (+"&amp;($AE68-1)&amp;" more)","")))</f>
        <v/>
      </c>
      <c r="Q68" s="28">
        <f>IF(AND($A68&lt;&gt;"",OR($D68="Active",$D68="Paused")),1,0)</f>
        <v/>
      </c>
      <c r="R68" s="28">
        <f>IFERROR(INDEX($A$6:$A$305,MATCH(61,$S$6:$S$305,0)),"")</f>
        <v/>
      </c>
      <c r="S68" s="28">
        <f>IF(AND($A68&lt;&gt;"",$B68="Program"),COUNTIFS($B$6:$B68,"Program",$A$6:$A68,"&lt;&gt;"),"")</f>
        <v/>
      </c>
      <c r="T68" s="30">
        <f>IF(AND($A68&lt;&gt;"",$B68="Program"),SUMPRODUCT(MAX(($C$6:$C$305=$A68)*($B$6:$B$305="Project")*($D$6:$D$305&lt;&gt;"Proposed")*$I$6:$I$305)),0)</f>
        <v/>
      </c>
      <c r="U68" s="30">
        <f>IF($I68&lt;&gt;"",$I68,IF($T68&gt;0,$T68,""))</f>
        <v/>
      </c>
      <c r="V68" s="28">
        <f>IF(AND($A68&lt;&gt;"",$B68="Program"),SUMIFS($J$6:$J$305,$C$6:$C$305,$A68,$B$6:$B$305,"Project",$D$6:$D$305,"&lt;&gt;Proposed"),0)</f>
        <v/>
      </c>
      <c r="W68" s="28">
        <f>IF(AND($A68&lt;&gt;"",$B68="Program"),COUNTIFS($C$6:$C$305,$A68,$B$6:$B$305,"Project",$D$6:$D$305,"&lt;&gt;Proposed")-COUNTIFS($C$6:$C$305,$A68,$B$6:$B$305,"Project",$D$6:$D$305,"&lt;&gt;Proposed",$J$6:$J$305,"&gt;=0"),0)</f>
        <v/>
      </c>
      <c r="X68" s="28">
        <f>IF(OR($Q68=0,$H68="",$AF68="Sprint"),0,IF(AND($B68="Project",$H68&lt;TODAY()),3,IF($U68="",0,IF($U68&lt;=$H68,1,IF(NETWORKDAYS($H68,$U68)-1&gt;IF($B68="Program",Checks!$B$7,Checks!$B$6),3,2)))))</f>
        <v/>
      </c>
      <c r="Y68" s="28">
        <f>IF(OR($Q68=0,$K68="",$K68=0,$AF68="Sprint"),0,IF(AND($B68="Project",$J68=""),0,IF(IF($B68="Program",$V68,$J68)&gt;$K68*(1+Checks!$B$8),3,IF(IF($B68="Program",$V68,$J68)&gt;$K68,2,IF(AND($B68="Program",OR($W68&gt;0,$V68=0)),0,1)))))</f>
        <v/>
      </c>
      <c r="Z68" s="28">
        <f>IF($A68="",0,IF($C68="Portfolio",1,IF(AND($B68="Project",$C68&lt;&gt;"",$C68&lt;&gt;"Outside the portfolio"),IFERROR(IF(AND(INDEX($B$6:$B$305,MATCH($C68,$A$6:$A$305,0))="Program",INDEX($C$6:$C$305,MATCH($C68,$A$6:$A$305,0))="Portfolio"),1,0),0),0)))</f>
        <v/>
      </c>
      <c r="AA68" s="28">
        <f>IF(AND($A68&lt;&gt;"",$E68="",OR($Q68=1,$D68="Proposed")),1,0)</f>
        <v/>
      </c>
      <c r="AB68" s="28">
        <f>IF(AND($A68&lt;&gt;"",$B68="Program",$F68="",$Q68=1),1,0)</f>
        <v/>
      </c>
      <c r="AC68" s="28">
        <f>IF(OR($A68="",$D68="Completed",$D68="Terminated"),0,IF($C68="",1,IF($C68="Portfolio",0,IF($C68="Outside the portfolio",IF($Q68=1,2,0),IF($B68="Project",IF(IFERROR(INDEX($B$6:$B$305,MATCH($C68,$A$6:$A$305,0)),"")="Program",0,1),1)))))</f>
        <v/>
      </c>
      <c r="AD68" s="28">
        <f>IF(AND($A68&lt;&gt;"",OR($M68="■ Red",$M68="◧ Amber"),$L68=""),1,0)</f>
        <v/>
      </c>
      <c r="AE68" s="28">
        <f>$AA68+$AB68+IF($AC68&gt;0,1,0)+$AD68+$AG68+$AH68</f>
        <v/>
      </c>
      <c r="AF68" s="25" t="n"/>
      <c r="AG68" s="28">
        <f>IF(AND($A68&lt;&gt;"",$K68&lt;&gt;"",$C68&lt;&gt;"Portfolio",$D68&lt;&gt;"Completed",$D68&lt;&gt;"Terminated"),1,0)</f>
        <v/>
      </c>
      <c r="AH68" s="28">
        <f>IF(AND($A68&lt;&gt;"",COUNTIF($A$6:$A$305,$A68)&gt;1),1,0)</f>
        <v/>
      </c>
      <c r="AI68" s="28">
        <f>IF(AND($A68&lt;&gt;"",$C68="Portfolio"),COUNTIFS($C$6:$C68,"Portfolio",$A$6:$A68,"&lt;&gt;"),"")</f>
        <v/>
      </c>
    </row>
    <row r="69">
      <c r="A69" s="25" t="n"/>
      <c r="B69" s="25" t="n"/>
      <c r="C69" s="25" t="n"/>
      <c r="D69" s="25" t="n"/>
      <c r="E69" s="25" t="n"/>
      <c r="F69" s="25" t="n"/>
      <c r="G69" s="25" t="n"/>
      <c r="H69" s="26" t="n"/>
      <c r="I69" s="26" t="n"/>
      <c r="J69" s="27" t="n"/>
      <c r="K69" s="27" t="n"/>
      <c r="L69" s="23" t="n"/>
      <c r="M69" s="28">
        <f>IF($A69="","",IF($D69="","Not read",IF($Q69=0,"Not counted",IF(MAX($X69,$Y69)=3,"■ Red",IF(MAX($X69,$Y69)=2,"◧ Amber",IF(MAX($X69,$Y69)=1,"□ On track","Not read"))))))</f>
        <v/>
      </c>
      <c r="N69" s="28">
        <f>IF(OR($A69="",$B69&lt;&gt;"Program"),"","■ "&amp;COUNTIFS($C$6:$C$305,$A69,$M$6:$M$305,"■ Red")&amp;" Red, ◧ "&amp;COUNTIFS($C$6:$C$305,$A69,$M$6:$M$305,"◧ Amber")&amp;" Amber")</f>
        <v/>
      </c>
      <c r="O69" s="29">
        <f>IF(OR($A69="",$E69=""),"",COUNTIFS($E$6:$E$305,$E69,$D$6:$D$305,"Active")+COUNTIFS($E$6:$E$305,$E69,$D$6:$D$305,"Paused"))</f>
        <v/>
      </c>
      <c r="P69" s="28">
        <f>IF($A69="","",IF($AE69=0,"○ Clear",IF($AA69=1,"△ No owner",IF($AC69=1,"△ Check Sits under",IF($AC69=2,"△ Outside the portfolio",IF($AB69=1,"△ No sponsor",IF($AH69=1,"△ Name used twice",IF($AG69=1,"△ Budget only counts under Portfolio","△ No variance note"))))))&amp;IF($AE69&gt;1," (+"&amp;($AE69-1)&amp;" more)","")))</f>
        <v/>
      </c>
      <c r="Q69" s="28">
        <f>IF(AND($A69&lt;&gt;"",OR($D69="Active",$D69="Paused")),1,0)</f>
        <v/>
      </c>
      <c r="R69" s="28">
        <f>IFERROR(INDEX($A$6:$A$305,MATCH(62,$S$6:$S$305,0)),"")</f>
        <v/>
      </c>
      <c r="S69" s="28">
        <f>IF(AND($A69&lt;&gt;"",$B69="Program"),COUNTIFS($B$6:$B69,"Program",$A$6:$A69,"&lt;&gt;"),"")</f>
        <v/>
      </c>
      <c r="T69" s="30">
        <f>IF(AND($A69&lt;&gt;"",$B69="Program"),SUMPRODUCT(MAX(($C$6:$C$305=$A69)*($B$6:$B$305="Project")*($D$6:$D$305&lt;&gt;"Proposed")*$I$6:$I$305)),0)</f>
        <v/>
      </c>
      <c r="U69" s="30">
        <f>IF($I69&lt;&gt;"",$I69,IF($T69&gt;0,$T69,""))</f>
        <v/>
      </c>
      <c r="V69" s="28">
        <f>IF(AND($A69&lt;&gt;"",$B69="Program"),SUMIFS($J$6:$J$305,$C$6:$C$305,$A69,$B$6:$B$305,"Project",$D$6:$D$305,"&lt;&gt;Proposed"),0)</f>
        <v/>
      </c>
      <c r="W69" s="28">
        <f>IF(AND($A69&lt;&gt;"",$B69="Program"),COUNTIFS($C$6:$C$305,$A69,$B$6:$B$305,"Project",$D$6:$D$305,"&lt;&gt;Proposed")-COUNTIFS($C$6:$C$305,$A69,$B$6:$B$305,"Project",$D$6:$D$305,"&lt;&gt;Proposed",$J$6:$J$305,"&gt;=0"),0)</f>
        <v/>
      </c>
      <c r="X69" s="28">
        <f>IF(OR($Q69=0,$H69="",$AF69="Sprint"),0,IF(AND($B69="Project",$H69&lt;TODAY()),3,IF($U69="",0,IF($U69&lt;=$H69,1,IF(NETWORKDAYS($H69,$U69)-1&gt;IF($B69="Program",Checks!$B$7,Checks!$B$6),3,2)))))</f>
        <v/>
      </c>
      <c r="Y69" s="28">
        <f>IF(OR($Q69=0,$K69="",$K69=0,$AF69="Sprint"),0,IF(AND($B69="Project",$J69=""),0,IF(IF($B69="Program",$V69,$J69)&gt;$K69*(1+Checks!$B$8),3,IF(IF($B69="Program",$V69,$J69)&gt;$K69,2,IF(AND($B69="Program",OR($W69&gt;0,$V69=0)),0,1)))))</f>
        <v/>
      </c>
      <c r="Z69" s="28">
        <f>IF($A69="",0,IF($C69="Portfolio",1,IF(AND($B69="Project",$C69&lt;&gt;"",$C69&lt;&gt;"Outside the portfolio"),IFERROR(IF(AND(INDEX($B$6:$B$305,MATCH($C69,$A$6:$A$305,0))="Program",INDEX($C$6:$C$305,MATCH($C69,$A$6:$A$305,0))="Portfolio"),1,0),0),0)))</f>
        <v/>
      </c>
      <c r="AA69" s="28">
        <f>IF(AND($A69&lt;&gt;"",$E69="",OR($Q69=1,$D69="Proposed")),1,0)</f>
        <v/>
      </c>
      <c r="AB69" s="28">
        <f>IF(AND($A69&lt;&gt;"",$B69="Program",$F69="",$Q69=1),1,0)</f>
        <v/>
      </c>
      <c r="AC69" s="28">
        <f>IF(OR($A69="",$D69="Completed",$D69="Terminated"),0,IF($C69="",1,IF($C69="Portfolio",0,IF($C69="Outside the portfolio",IF($Q69=1,2,0),IF($B69="Project",IF(IFERROR(INDEX($B$6:$B$305,MATCH($C69,$A$6:$A$305,0)),"")="Program",0,1),1)))))</f>
        <v/>
      </c>
      <c r="AD69" s="28">
        <f>IF(AND($A69&lt;&gt;"",OR($M69="■ Red",$M69="◧ Amber"),$L69=""),1,0)</f>
        <v/>
      </c>
      <c r="AE69" s="28">
        <f>$AA69+$AB69+IF($AC69&gt;0,1,0)+$AD69+$AG69+$AH69</f>
        <v/>
      </c>
      <c r="AF69" s="25" t="n"/>
      <c r="AG69" s="28">
        <f>IF(AND($A69&lt;&gt;"",$K69&lt;&gt;"",$C69&lt;&gt;"Portfolio",$D69&lt;&gt;"Completed",$D69&lt;&gt;"Terminated"),1,0)</f>
        <v/>
      </c>
      <c r="AH69" s="28">
        <f>IF(AND($A69&lt;&gt;"",COUNTIF($A$6:$A$305,$A69)&gt;1),1,0)</f>
        <v/>
      </c>
      <c r="AI69" s="28">
        <f>IF(AND($A69&lt;&gt;"",$C69="Portfolio"),COUNTIFS($C$6:$C69,"Portfolio",$A$6:$A69,"&lt;&gt;"),"")</f>
        <v/>
      </c>
    </row>
    <row r="70">
      <c r="A70" s="25" t="n"/>
      <c r="B70" s="25" t="n"/>
      <c r="C70" s="25" t="n"/>
      <c r="D70" s="25" t="n"/>
      <c r="E70" s="25" t="n"/>
      <c r="F70" s="25" t="n"/>
      <c r="G70" s="25" t="n"/>
      <c r="H70" s="26" t="n"/>
      <c r="I70" s="26" t="n"/>
      <c r="J70" s="27" t="n"/>
      <c r="K70" s="27" t="n"/>
      <c r="L70" s="23" t="n"/>
      <c r="M70" s="28">
        <f>IF($A70="","",IF($D70="","Not read",IF($Q70=0,"Not counted",IF(MAX($X70,$Y70)=3,"■ Red",IF(MAX($X70,$Y70)=2,"◧ Amber",IF(MAX($X70,$Y70)=1,"□ On track","Not read"))))))</f>
        <v/>
      </c>
      <c r="N70" s="28">
        <f>IF(OR($A70="",$B70&lt;&gt;"Program"),"","■ "&amp;COUNTIFS($C$6:$C$305,$A70,$M$6:$M$305,"■ Red")&amp;" Red, ◧ "&amp;COUNTIFS($C$6:$C$305,$A70,$M$6:$M$305,"◧ Amber")&amp;" Amber")</f>
        <v/>
      </c>
      <c r="O70" s="29">
        <f>IF(OR($A70="",$E70=""),"",COUNTIFS($E$6:$E$305,$E70,$D$6:$D$305,"Active")+COUNTIFS($E$6:$E$305,$E70,$D$6:$D$305,"Paused"))</f>
        <v/>
      </c>
      <c r="P70" s="28">
        <f>IF($A70="","",IF($AE70=0,"○ Clear",IF($AA70=1,"△ No owner",IF($AC70=1,"△ Check Sits under",IF($AC70=2,"△ Outside the portfolio",IF($AB70=1,"△ No sponsor",IF($AH70=1,"△ Name used twice",IF($AG70=1,"△ Budget only counts under Portfolio","△ No variance note"))))))&amp;IF($AE70&gt;1," (+"&amp;($AE70-1)&amp;" more)","")))</f>
        <v/>
      </c>
      <c r="Q70" s="28">
        <f>IF(AND($A70&lt;&gt;"",OR($D70="Active",$D70="Paused")),1,0)</f>
        <v/>
      </c>
      <c r="R70" s="28">
        <f>IFERROR(INDEX($A$6:$A$305,MATCH(63,$S$6:$S$305,0)),"")</f>
        <v/>
      </c>
      <c r="S70" s="28">
        <f>IF(AND($A70&lt;&gt;"",$B70="Program"),COUNTIFS($B$6:$B70,"Program",$A$6:$A70,"&lt;&gt;"),"")</f>
        <v/>
      </c>
      <c r="T70" s="30">
        <f>IF(AND($A70&lt;&gt;"",$B70="Program"),SUMPRODUCT(MAX(($C$6:$C$305=$A70)*($B$6:$B$305="Project")*($D$6:$D$305&lt;&gt;"Proposed")*$I$6:$I$305)),0)</f>
        <v/>
      </c>
      <c r="U70" s="30">
        <f>IF($I70&lt;&gt;"",$I70,IF($T70&gt;0,$T70,""))</f>
        <v/>
      </c>
      <c r="V70" s="28">
        <f>IF(AND($A70&lt;&gt;"",$B70="Program"),SUMIFS($J$6:$J$305,$C$6:$C$305,$A70,$B$6:$B$305,"Project",$D$6:$D$305,"&lt;&gt;Proposed"),0)</f>
        <v/>
      </c>
      <c r="W70" s="28">
        <f>IF(AND($A70&lt;&gt;"",$B70="Program"),COUNTIFS($C$6:$C$305,$A70,$B$6:$B$305,"Project",$D$6:$D$305,"&lt;&gt;Proposed")-COUNTIFS($C$6:$C$305,$A70,$B$6:$B$305,"Project",$D$6:$D$305,"&lt;&gt;Proposed",$J$6:$J$305,"&gt;=0"),0)</f>
        <v/>
      </c>
      <c r="X70" s="28">
        <f>IF(OR($Q70=0,$H70="",$AF70="Sprint"),0,IF(AND($B70="Project",$H70&lt;TODAY()),3,IF($U70="",0,IF($U70&lt;=$H70,1,IF(NETWORKDAYS($H70,$U70)-1&gt;IF($B70="Program",Checks!$B$7,Checks!$B$6),3,2)))))</f>
        <v/>
      </c>
      <c r="Y70" s="28">
        <f>IF(OR($Q70=0,$K70="",$K70=0,$AF70="Sprint"),0,IF(AND($B70="Project",$J70=""),0,IF(IF($B70="Program",$V70,$J70)&gt;$K70*(1+Checks!$B$8),3,IF(IF($B70="Program",$V70,$J70)&gt;$K70,2,IF(AND($B70="Program",OR($W70&gt;0,$V70=0)),0,1)))))</f>
        <v/>
      </c>
      <c r="Z70" s="28">
        <f>IF($A70="",0,IF($C70="Portfolio",1,IF(AND($B70="Project",$C70&lt;&gt;"",$C70&lt;&gt;"Outside the portfolio"),IFERROR(IF(AND(INDEX($B$6:$B$305,MATCH($C70,$A$6:$A$305,0))="Program",INDEX($C$6:$C$305,MATCH($C70,$A$6:$A$305,0))="Portfolio"),1,0),0),0)))</f>
        <v/>
      </c>
      <c r="AA70" s="28">
        <f>IF(AND($A70&lt;&gt;"",$E70="",OR($Q70=1,$D70="Proposed")),1,0)</f>
        <v/>
      </c>
      <c r="AB70" s="28">
        <f>IF(AND($A70&lt;&gt;"",$B70="Program",$F70="",$Q70=1),1,0)</f>
        <v/>
      </c>
      <c r="AC70" s="28">
        <f>IF(OR($A70="",$D70="Completed",$D70="Terminated"),0,IF($C70="",1,IF($C70="Portfolio",0,IF($C70="Outside the portfolio",IF($Q70=1,2,0),IF($B70="Project",IF(IFERROR(INDEX($B$6:$B$305,MATCH($C70,$A$6:$A$305,0)),"")="Program",0,1),1)))))</f>
        <v/>
      </c>
      <c r="AD70" s="28">
        <f>IF(AND($A70&lt;&gt;"",OR($M70="■ Red",$M70="◧ Amber"),$L70=""),1,0)</f>
        <v/>
      </c>
      <c r="AE70" s="28">
        <f>$AA70+$AB70+IF($AC70&gt;0,1,0)+$AD70+$AG70+$AH70</f>
        <v/>
      </c>
      <c r="AF70" s="25" t="n"/>
      <c r="AG70" s="28">
        <f>IF(AND($A70&lt;&gt;"",$K70&lt;&gt;"",$C70&lt;&gt;"Portfolio",$D70&lt;&gt;"Completed",$D70&lt;&gt;"Terminated"),1,0)</f>
        <v/>
      </c>
      <c r="AH70" s="28">
        <f>IF(AND($A70&lt;&gt;"",COUNTIF($A$6:$A$305,$A70)&gt;1),1,0)</f>
        <v/>
      </c>
      <c r="AI70" s="28">
        <f>IF(AND($A70&lt;&gt;"",$C70="Portfolio"),COUNTIFS($C$6:$C70,"Portfolio",$A$6:$A70,"&lt;&gt;"),"")</f>
        <v/>
      </c>
    </row>
    <row r="71">
      <c r="A71" s="25" t="n"/>
      <c r="B71" s="25" t="n"/>
      <c r="C71" s="25" t="n"/>
      <c r="D71" s="25" t="n"/>
      <c r="E71" s="25" t="n"/>
      <c r="F71" s="25" t="n"/>
      <c r="G71" s="25" t="n"/>
      <c r="H71" s="26" t="n"/>
      <c r="I71" s="26" t="n"/>
      <c r="J71" s="27" t="n"/>
      <c r="K71" s="27" t="n"/>
      <c r="L71" s="23" t="n"/>
      <c r="M71" s="28">
        <f>IF($A71="","",IF($D71="","Not read",IF($Q71=0,"Not counted",IF(MAX($X71,$Y71)=3,"■ Red",IF(MAX($X71,$Y71)=2,"◧ Amber",IF(MAX($X71,$Y71)=1,"□ On track","Not read"))))))</f>
        <v/>
      </c>
      <c r="N71" s="28">
        <f>IF(OR($A71="",$B71&lt;&gt;"Program"),"","■ "&amp;COUNTIFS($C$6:$C$305,$A71,$M$6:$M$305,"■ Red")&amp;" Red, ◧ "&amp;COUNTIFS($C$6:$C$305,$A71,$M$6:$M$305,"◧ Amber")&amp;" Amber")</f>
        <v/>
      </c>
      <c r="O71" s="29">
        <f>IF(OR($A71="",$E71=""),"",COUNTIFS($E$6:$E$305,$E71,$D$6:$D$305,"Active")+COUNTIFS($E$6:$E$305,$E71,$D$6:$D$305,"Paused"))</f>
        <v/>
      </c>
      <c r="P71" s="28">
        <f>IF($A71="","",IF($AE71=0,"○ Clear",IF($AA71=1,"△ No owner",IF($AC71=1,"△ Check Sits under",IF($AC71=2,"△ Outside the portfolio",IF($AB71=1,"△ No sponsor",IF($AH71=1,"△ Name used twice",IF($AG71=1,"△ Budget only counts under Portfolio","△ No variance note"))))))&amp;IF($AE71&gt;1," (+"&amp;($AE71-1)&amp;" more)","")))</f>
        <v/>
      </c>
      <c r="Q71" s="28">
        <f>IF(AND($A71&lt;&gt;"",OR($D71="Active",$D71="Paused")),1,0)</f>
        <v/>
      </c>
      <c r="R71" s="28">
        <f>IFERROR(INDEX($A$6:$A$305,MATCH(64,$S$6:$S$305,0)),"")</f>
        <v/>
      </c>
      <c r="S71" s="28">
        <f>IF(AND($A71&lt;&gt;"",$B71="Program"),COUNTIFS($B$6:$B71,"Program",$A$6:$A71,"&lt;&gt;"),"")</f>
        <v/>
      </c>
      <c r="T71" s="30">
        <f>IF(AND($A71&lt;&gt;"",$B71="Program"),SUMPRODUCT(MAX(($C$6:$C$305=$A71)*($B$6:$B$305="Project")*($D$6:$D$305&lt;&gt;"Proposed")*$I$6:$I$305)),0)</f>
        <v/>
      </c>
      <c r="U71" s="30">
        <f>IF($I71&lt;&gt;"",$I71,IF($T71&gt;0,$T71,""))</f>
        <v/>
      </c>
      <c r="V71" s="28">
        <f>IF(AND($A71&lt;&gt;"",$B71="Program"),SUMIFS($J$6:$J$305,$C$6:$C$305,$A71,$B$6:$B$305,"Project",$D$6:$D$305,"&lt;&gt;Proposed"),0)</f>
        <v/>
      </c>
      <c r="W71" s="28">
        <f>IF(AND($A71&lt;&gt;"",$B71="Program"),COUNTIFS($C$6:$C$305,$A71,$B$6:$B$305,"Project",$D$6:$D$305,"&lt;&gt;Proposed")-COUNTIFS($C$6:$C$305,$A71,$B$6:$B$305,"Project",$D$6:$D$305,"&lt;&gt;Proposed",$J$6:$J$305,"&gt;=0"),0)</f>
        <v/>
      </c>
      <c r="X71" s="28">
        <f>IF(OR($Q71=0,$H71="",$AF71="Sprint"),0,IF(AND($B71="Project",$H71&lt;TODAY()),3,IF($U71="",0,IF($U71&lt;=$H71,1,IF(NETWORKDAYS($H71,$U71)-1&gt;IF($B71="Program",Checks!$B$7,Checks!$B$6),3,2)))))</f>
        <v/>
      </c>
      <c r="Y71" s="28">
        <f>IF(OR($Q71=0,$K71="",$K71=0,$AF71="Sprint"),0,IF(AND($B71="Project",$J71=""),0,IF(IF($B71="Program",$V71,$J71)&gt;$K71*(1+Checks!$B$8),3,IF(IF($B71="Program",$V71,$J71)&gt;$K71,2,IF(AND($B71="Program",OR($W71&gt;0,$V71=0)),0,1)))))</f>
        <v/>
      </c>
      <c r="Z71" s="28">
        <f>IF($A71="",0,IF($C71="Portfolio",1,IF(AND($B71="Project",$C71&lt;&gt;"",$C71&lt;&gt;"Outside the portfolio"),IFERROR(IF(AND(INDEX($B$6:$B$305,MATCH($C71,$A$6:$A$305,0))="Program",INDEX($C$6:$C$305,MATCH($C71,$A$6:$A$305,0))="Portfolio"),1,0),0),0)))</f>
        <v/>
      </c>
      <c r="AA71" s="28">
        <f>IF(AND($A71&lt;&gt;"",$E71="",OR($Q71=1,$D71="Proposed")),1,0)</f>
        <v/>
      </c>
      <c r="AB71" s="28">
        <f>IF(AND($A71&lt;&gt;"",$B71="Program",$F71="",$Q71=1),1,0)</f>
        <v/>
      </c>
      <c r="AC71" s="28">
        <f>IF(OR($A71="",$D71="Completed",$D71="Terminated"),0,IF($C71="",1,IF($C71="Portfolio",0,IF($C71="Outside the portfolio",IF($Q71=1,2,0),IF($B71="Project",IF(IFERROR(INDEX($B$6:$B$305,MATCH($C71,$A$6:$A$305,0)),"")="Program",0,1),1)))))</f>
        <v/>
      </c>
      <c r="AD71" s="28">
        <f>IF(AND($A71&lt;&gt;"",OR($M71="■ Red",$M71="◧ Amber"),$L71=""),1,0)</f>
        <v/>
      </c>
      <c r="AE71" s="28">
        <f>$AA71+$AB71+IF($AC71&gt;0,1,0)+$AD71+$AG71+$AH71</f>
        <v/>
      </c>
      <c r="AF71" s="25" t="n"/>
      <c r="AG71" s="28">
        <f>IF(AND($A71&lt;&gt;"",$K71&lt;&gt;"",$C71&lt;&gt;"Portfolio",$D71&lt;&gt;"Completed",$D71&lt;&gt;"Terminated"),1,0)</f>
        <v/>
      </c>
      <c r="AH71" s="28">
        <f>IF(AND($A71&lt;&gt;"",COUNTIF($A$6:$A$305,$A71)&gt;1),1,0)</f>
        <v/>
      </c>
      <c r="AI71" s="28">
        <f>IF(AND($A71&lt;&gt;"",$C71="Portfolio"),COUNTIFS($C$6:$C71,"Portfolio",$A$6:$A71,"&lt;&gt;"),"")</f>
        <v/>
      </c>
    </row>
    <row r="72">
      <c r="A72" s="25" t="n"/>
      <c r="B72" s="25" t="n"/>
      <c r="C72" s="25" t="n"/>
      <c r="D72" s="25" t="n"/>
      <c r="E72" s="25" t="n"/>
      <c r="F72" s="25" t="n"/>
      <c r="G72" s="25" t="n"/>
      <c r="H72" s="26" t="n"/>
      <c r="I72" s="26" t="n"/>
      <c r="J72" s="27" t="n"/>
      <c r="K72" s="27" t="n"/>
      <c r="L72" s="23" t="n"/>
      <c r="M72" s="28">
        <f>IF($A72="","",IF($D72="","Not read",IF($Q72=0,"Not counted",IF(MAX($X72,$Y72)=3,"■ Red",IF(MAX($X72,$Y72)=2,"◧ Amber",IF(MAX($X72,$Y72)=1,"□ On track","Not read"))))))</f>
        <v/>
      </c>
      <c r="N72" s="28">
        <f>IF(OR($A72="",$B72&lt;&gt;"Program"),"","■ "&amp;COUNTIFS($C$6:$C$305,$A72,$M$6:$M$305,"■ Red")&amp;" Red, ◧ "&amp;COUNTIFS($C$6:$C$305,$A72,$M$6:$M$305,"◧ Amber")&amp;" Amber")</f>
        <v/>
      </c>
      <c r="O72" s="29">
        <f>IF(OR($A72="",$E72=""),"",COUNTIFS($E$6:$E$305,$E72,$D$6:$D$305,"Active")+COUNTIFS($E$6:$E$305,$E72,$D$6:$D$305,"Paused"))</f>
        <v/>
      </c>
      <c r="P72" s="28">
        <f>IF($A72="","",IF($AE72=0,"○ Clear",IF($AA72=1,"△ No owner",IF($AC72=1,"△ Check Sits under",IF($AC72=2,"△ Outside the portfolio",IF($AB72=1,"△ No sponsor",IF($AH72=1,"△ Name used twice",IF($AG72=1,"△ Budget only counts under Portfolio","△ No variance note"))))))&amp;IF($AE72&gt;1," (+"&amp;($AE72-1)&amp;" more)","")))</f>
        <v/>
      </c>
      <c r="Q72" s="28">
        <f>IF(AND($A72&lt;&gt;"",OR($D72="Active",$D72="Paused")),1,0)</f>
        <v/>
      </c>
      <c r="R72" s="28">
        <f>IFERROR(INDEX($A$6:$A$305,MATCH(65,$S$6:$S$305,0)),"")</f>
        <v/>
      </c>
      <c r="S72" s="28">
        <f>IF(AND($A72&lt;&gt;"",$B72="Program"),COUNTIFS($B$6:$B72,"Program",$A$6:$A72,"&lt;&gt;"),"")</f>
        <v/>
      </c>
      <c r="T72" s="30">
        <f>IF(AND($A72&lt;&gt;"",$B72="Program"),SUMPRODUCT(MAX(($C$6:$C$305=$A72)*($B$6:$B$305="Project")*($D$6:$D$305&lt;&gt;"Proposed")*$I$6:$I$305)),0)</f>
        <v/>
      </c>
      <c r="U72" s="30">
        <f>IF($I72&lt;&gt;"",$I72,IF($T72&gt;0,$T72,""))</f>
        <v/>
      </c>
      <c r="V72" s="28">
        <f>IF(AND($A72&lt;&gt;"",$B72="Program"),SUMIFS($J$6:$J$305,$C$6:$C$305,$A72,$B$6:$B$305,"Project",$D$6:$D$305,"&lt;&gt;Proposed"),0)</f>
        <v/>
      </c>
      <c r="W72" s="28">
        <f>IF(AND($A72&lt;&gt;"",$B72="Program"),COUNTIFS($C$6:$C$305,$A72,$B$6:$B$305,"Project",$D$6:$D$305,"&lt;&gt;Proposed")-COUNTIFS($C$6:$C$305,$A72,$B$6:$B$305,"Project",$D$6:$D$305,"&lt;&gt;Proposed",$J$6:$J$305,"&gt;=0"),0)</f>
        <v/>
      </c>
      <c r="X72" s="28">
        <f>IF(OR($Q72=0,$H72="",$AF72="Sprint"),0,IF(AND($B72="Project",$H72&lt;TODAY()),3,IF($U72="",0,IF($U72&lt;=$H72,1,IF(NETWORKDAYS($H72,$U72)-1&gt;IF($B72="Program",Checks!$B$7,Checks!$B$6),3,2)))))</f>
        <v/>
      </c>
      <c r="Y72" s="28">
        <f>IF(OR($Q72=0,$K72="",$K72=0,$AF72="Sprint"),0,IF(AND($B72="Project",$J72=""),0,IF(IF($B72="Program",$V72,$J72)&gt;$K72*(1+Checks!$B$8),3,IF(IF($B72="Program",$V72,$J72)&gt;$K72,2,IF(AND($B72="Program",OR($W72&gt;0,$V72=0)),0,1)))))</f>
        <v/>
      </c>
      <c r="Z72" s="28">
        <f>IF($A72="",0,IF($C72="Portfolio",1,IF(AND($B72="Project",$C72&lt;&gt;"",$C72&lt;&gt;"Outside the portfolio"),IFERROR(IF(AND(INDEX($B$6:$B$305,MATCH($C72,$A$6:$A$305,0))="Program",INDEX($C$6:$C$305,MATCH($C72,$A$6:$A$305,0))="Portfolio"),1,0),0),0)))</f>
        <v/>
      </c>
      <c r="AA72" s="28">
        <f>IF(AND($A72&lt;&gt;"",$E72="",OR($Q72=1,$D72="Proposed")),1,0)</f>
        <v/>
      </c>
      <c r="AB72" s="28">
        <f>IF(AND($A72&lt;&gt;"",$B72="Program",$F72="",$Q72=1),1,0)</f>
        <v/>
      </c>
      <c r="AC72" s="28">
        <f>IF(OR($A72="",$D72="Completed",$D72="Terminated"),0,IF($C72="",1,IF($C72="Portfolio",0,IF($C72="Outside the portfolio",IF($Q72=1,2,0),IF($B72="Project",IF(IFERROR(INDEX($B$6:$B$305,MATCH($C72,$A$6:$A$305,0)),"")="Program",0,1),1)))))</f>
        <v/>
      </c>
      <c r="AD72" s="28">
        <f>IF(AND($A72&lt;&gt;"",OR($M72="■ Red",$M72="◧ Amber"),$L72=""),1,0)</f>
        <v/>
      </c>
      <c r="AE72" s="28">
        <f>$AA72+$AB72+IF($AC72&gt;0,1,0)+$AD72+$AG72+$AH72</f>
        <v/>
      </c>
      <c r="AF72" s="25" t="n"/>
      <c r="AG72" s="28">
        <f>IF(AND($A72&lt;&gt;"",$K72&lt;&gt;"",$C72&lt;&gt;"Portfolio",$D72&lt;&gt;"Completed",$D72&lt;&gt;"Terminated"),1,0)</f>
        <v/>
      </c>
      <c r="AH72" s="28">
        <f>IF(AND($A72&lt;&gt;"",COUNTIF($A$6:$A$305,$A72)&gt;1),1,0)</f>
        <v/>
      </c>
      <c r="AI72" s="28">
        <f>IF(AND($A72&lt;&gt;"",$C72="Portfolio"),COUNTIFS($C$6:$C72,"Portfolio",$A$6:$A72,"&lt;&gt;"),"")</f>
        <v/>
      </c>
    </row>
    <row r="73">
      <c r="A73" s="25" t="n"/>
      <c r="B73" s="25" t="n"/>
      <c r="C73" s="25" t="n"/>
      <c r="D73" s="25" t="n"/>
      <c r="E73" s="25" t="n"/>
      <c r="F73" s="25" t="n"/>
      <c r="G73" s="25" t="n"/>
      <c r="H73" s="26" t="n"/>
      <c r="I73" s="26" t="n"/>
      <c r="J73" s="27" t="n"/>
      <c r="K73" s="27" t="n"/>
      <c r="L73" s="23" t="n"/>
      <c r="M73" s="28">
        <f>IF($A73="","",IF($D73="","Not read",IF($Q73=0,"Not counted",IF(MAX($X73,$Y73)=3,"■ Red",IF(MAX($X73,$Y73)=2,"◧ Amber",IF(MAX($X73,$Y73)=1,"□ On track","Not read"))))))</f>
        <v/>
      </c>
      <c r="N73" s="28">
        <f>IF(OR($A73="",$B73&lt;&gt;"Program"),"","■ "&amp;COUNTIFS($C$6:$C$305,$A73,$M$6:$M$305,"■ Red")&amp;" Red, ◧ "&amp;COUNTIFS($C$6:$C$305,$A73,$M$6:$M$305,"◧ Amber")&amp;" Amber")</f>
        <v/>
      </c>
      <c r="O73" s="29">
        <f>IF(OR($A73="",$E73=""),"",COUNTIFS($E$6:$E$305,$E73,$D$6:$D$305,"Active")+COUNTIFS($E$6:$E$305,$E73,$D$6:$D$305,"Paused"))</f>
        <v/>
      </c>
      <c r="P73" s="28">
        <f>IF($A73="","",IF($AE73=0,"○ Clear",IF($AA73=1,"△ No owner",IF($AC73=1,"△ Check Sits under",IF($AC73=2,"△ Outside the portfolio",IF($AB73=1,"△ No sponsor",IF($AH73=1,"△ Name used twice",IF($AG73=1,"△ Budget only counts under Portfolio","△ No variance note"))))))&amp;IF($AE73&gt;1," (+"&amp;($AE73-1)&amp;" more)","")))</f>
        <v/>
      </c>
      <c r="Q73" s="28">
        <f>IF(AND($A73&lt;&gt;"",OR($D73="Active",$D73="Paused")),1,0)</f>
        <v/>
      </c>
      <c r="R73" s="28">
        <f>IFERROR(INDEX($A$6:$A$305,MATCH(66,$S$6:$S$305,0)),"")</f>
        <v/>
      </c>
      <c r="S73" s="28">
        <f>IF(AND($A73&lt;&gt;"",$B73="Program"),COUNTIFS($B$6:$B73,"Program",$A$6:$A73,"&lt;&gt;"),"")</f>
        <v/>
      </c>
      <c r="T73" s="30">
        <f>IF(AND($A73&lt;&gt;"",$B73="Program"),SUMPRODUCT(MAX(($C$6:$C$305=$A73)*($B$6:$B$305="Project")*($D$6:$D$305&lt;&gt;"Proposed")*$I$6:$I$305)),0)</f>
        <v/>
      </c>
      <c r="U73" s="30">
        <f>IF($I73&lt;&gt;"",$I73,IF($T73&gt;0,$T73,""))</f>
        <v/>
      </c>
      <c r="V73" s="28">
        <f>IF(AND($A73&lt;&gt;"",$B73="Program"),SUMIFS($J$6:$J$305,$C$6:$C$305,$A73,$B$6:$B$305,"Project",$D$6:$D$305,"&lt;&gt;Proposed"),0)</f>
        <v/>
      </c>
      <c r="W73" s="28">
        <f>IF(AND($A73&lt;&gt;"",$B73="Program"),COUNTIFS($C$6:$C$305,$A73,$B$6:$B$305,"Project",$D$6:$D$305,"&lt;&gt;Proposed")-COUNTIFS($C$6:$C$305,$A73,$B$6:$B$305,"Project",$D$6:$D$305,"&lt;&gt;Proposed",$J$6:$J$305,"&gt;=0"),0)</f>
        <v/>
      </c>
      <c r="X73" s="28">
        <f>IF(OR($Q73=0,$H73="",$AF73="Sprint"),0,IF(AND($B73="Project",$H73&lt;TODAY()),3,IF($U73="",0,IF($U73&lt;=$H73,1,IF(NETWORKDAYS($H73,$U73)-1&gt;IF($B73="Program",Checks!$B$7,Checks!$B$6),3,2)))))</f>
        <v/>
      </c>
      <c r="Y73" s="28">
        <f>IF(OR($Q73=0,$K73="",$K73=0,$AF73="Sprint"),0,IF(AND($B73="Project",$J73=""),0,IF(IF($B73="Program",$V73,$J73)&gt;$K73*(1+Checks!$B$8),3,IF(IF($B73="Program",$V73,$J73)&gt;$K73,2,IF(AND($B73="Program",OR($W73&gt;0,$V73=0)),0,1)))))</f>
        <v/>
      </c>
      <c r="Z73" s="28">
        <f>IF($A73="",0,IF($C73="Portfolio",1,IF(AND($B73="Project",$C73&lt;&gt;"",$C73&lt;&gt;"Outside the portfolio"),IFERROR(IF(AND(INDEX($B$6:$B$305,MATCH($C73,$A$6:$A$305,0))="Program",INDEX($C$6:$C$305,MATCH($C73,$A$6:$A$305,0))="Portfolio"),1,0),0),0)))</f>
        <v/>
      </c>
      <c r="AA73" s="28">
        <f>IF(AND($A73&lt;&gt;"",$E73="",OR($Q73=1,$D73="Proposed")),1,0)</f>
        <v/>
      </c>
      <c r="AB73" s="28">
        <f>IF(AND($A73&lt;&gt;"",$B73="Program",$F73="",$Q73=1),1,0)</f>
        <v/>
      </c>
      <c r="AC73" s="28">
        <f>IF(OR($A73="",$D73="Completed",$D73="Terminated"),0,IF($C73="",1,IF($C73="Portfolio",0,IF($C73="Outside the portfolio",IF($Q73=1,2,0),IF($B73="Project",IF(IFERROR(INDEX($B$6:$B$305,MATCH($C73,$A$6:$A$305,0)),"")="Program",0,1),1)))))</f>
        <v/>
      </c>
      <c r="AD73" s="28">
        <f>IF(AND($A73&lt;&gt;"",OR($M73="■ Red",$M73="◧ Amber"),$L73=""),1,0)</f>
        <v/>
      </c>
      <c r="AE73" s="28">
        <f>$AA73+$AB73+IF($AC73&gt;0,1,0)+$AD73+$AG73+$AH73</f>
        <v/>
      </c>
      <c r="AF73" s="25" t="n"/>
      <c r="AG73" s="28">
        <f>IF(AND($A73&lt;&gt;"",$K73&lt;&gt;"",$C73&lt;&gt;"Portfolio",$D73&lt;&gt;"Completed",$D73&lt;&gt;"Terminated"),1,0)</f>
        <v/>
      </c>
      <c r="AH73" s="28">
        <f>IF(AND($A73&lt;&gt;"",COUNTIF($A$6:$A$305,$A73)&gt;1),1,0)</f>
        <v/>
      </c>
      <c r="AI73" s="28">
        <f>IF(AND($A73&lt;&gt;"",$C73="Portfolio"),COUNTIFS($C$6:$C73,"Portfolio",$A$6:$A73,"&lt;&gt;"),"")</f>
        <v/>
      </c>
    </row>
    <row r="74">
      <c r="A74" s="25" t="n"/>
      <c r="B74" s="25" t="n"/>
      <c r="C74" s="25" t="n"/>
      <c r="D74" s="25" t="n"/>
      <c r="E74" s="25" t="n"/>
      <c r="F74" s="25" t="n"/>
      <c r="G74" s="25" t="n"/>
      <c r="H74" s="26" t="n"/>
      <c r="I74" s="26" t="n"/>
      <c r="J74" s="27" t="n"/>
      <c r="K74" s="27" t="n"/>
      <c r="L74" s="23" t="n"/>
      <c r="M74" s="28">
        <f>IF($A74="","",IF($D74="","Not read",IF($Q74=0,"Not counted",IF(MAX($X74,$Y74)=3,"■ Red",IF(MAX($X74,$Y74)=2,"◧ Amber",IF(MAX($X74,$Y74)=1,"□ On track","Not read"))))))</f>
        <v/>
      </c>
      <c r="N74" s="28">
        <f>IF(OR($A74="",$B74&lt;&gt;"Program"),"","■ "&amp;COUNTIFS($C$6:$C$305,$A74,$M$6:$M$305,"■ Red")&amp;" Red, ◧ "&amp;COUNTIFS($C$6:$C$305,$A74,$M$6:$M$305,"◧ Amber")&amp;" Amber")</f>
        <v/>
      </c>
      <c r="O74" s="29">
        <f>IF(OR($A74="",$E74=""),"",COUNTIFS($E$6:$E$305,$E74,$D$6:$D$305,"Active")+COUNTIFS($E$6:$E$305,$E74,$D$6:$D$305,"Paused"))</f>
        <v/>
      </c>
      <c r="P74" s="28">
        <f>IF($A74="","",IF($AE74=0,"○ Clear",IF($AA74=1,"△ No owner",IF($AC74=1,"△ Check Sits under",IF($AC74=2,"△ Outside the portfolio",IF($AB74=1,"△ No sponsor",IF($AH74=1,"△ Name used twice",IF($AG74=1,"△ Budget only counts under Portfolio","△ No variance note"))))))&amp;IF($AE74&gt;1," (+"&amp;($AE74-1)&amp;" more)","")))</f>
        <v/>
      </c>
      <c r="Q74" s="28">
        <f>IF(AND($A74&lt;&gt;"",OR($D74="Active",$D74="Paused")),1,0)</f>
        <v/>
      </c>
      <c r="R74" s="28">
        <f>IFERROR(INDEX($A$6:$A$305,MATCH(67,$S$6:$S$305,0)),"")</f>
        <v/>
      </c>
      <c r="S74" s="28">
        <f>IF(AND($A74&lt;&gt;"",$B74="Program"),COUNTIFS($B$6:$B74,"Program",$A$6:$A74,"&lt;&gt;"),"")</f>
        <v/>
      </c>
      <c r="T74" s="30">
        <f>IF(AND($A74&lt;&gt;"",$B74="Program"),SUMPRODUCT(MAX(($C$6:$C$305=$A74)*($B$6:$B$305="Project")*($D$6:$D$305&lt;&gt;"Proposed")*$I$6:$I$305)),0)</f>
        <v/>
      </c>
      <c r="U74" s="30">
        <f>IF($I74&lt;&gt;"",$I74,IF($T74&gt;0,$T74,""))</f>
        <v/>
      </c>
      <c r="V74" s="28">
        <f>IF(AND($A74&lt;&gt;"",$B74="Program"),SUMIFS($J$6:$J$305,$C$6:$C$305,$A74,$B$6:$B$305,"Project",$D$6:$D$305,"&lt;&gt;Proposed"),0)</f>
        <v/>
      </c>
      <c r="W74" s="28">
        <f>IF(AND($A74&lt;&gt;"",$B74="Program"),COUNTIFS($C$6:$C$305,$A74,$B$6:$B$305,"Project",$D$6:$D$305,"&lt;&gt;Proposed")-COUNTIFS($C$6:$C$305,$A74,$B$6:$B$305,"Project",$D$6:$D$305,"&lt;&gt;Proposed",$J$6:$J$305,"&gt;=0"),0)</f>
        <v/>
      </c>
      <c r="X74" s="28">
        <f>IF(OR($Q74=0,$H74="",$AF74="Sprint"),0,IF(AND($B74="Project",$H74&lt;TODAY()),3,IF($U74="",0,IF($U74&lt;=$H74,1,IF(NETWORKDAYS($H74,$U74)-1&gt;IF($B74="Program",Checks!$B$7,Checks!$B$6),3,2)))))</f>
        <v/>
      </c>
      <c r="Y74" s="28">
        <f>IF(OR($Q74=0,$K74="",$K74=0,$AF74="Sprint"),0,IF(AND($B74="Project",$J74=""),0,IF(IF($B74="Program",$V74,$J74)&gt;$K74*(1+Checks!$B$8),3,IF(IF($B74="Program",$V74,$J74)&gt;$K74,2,IF(AND($B74="Program",OR($W74&gt;0,$V74=0)),0,1)))))</f>
        <v/>
      </c>
      <c r="Z74" s="28">
        <f>IF($A74="",0,IF($C74="Portfolio",1,IF(AND($B74="Project",$C74&lt;&gt;"",$C74&lt;&gt;"Outside the portfolio"),IFERROR(IF(AND(INDEX($B$6:$B$305,MATCH($C74,$A$6:$A$305,0))="Program",INDEX($C$6:$C$305,MATCH($C74,$A$6:$A$305,0))="Portfolio"),1,0),0),0)))</f>
        <v/>
      </c>
      <c r="AA74" s="28">
        <f>IF(AND($A74&lt;&gt;"",$E74="",OR($Q74=1,$D74="Proposed")),1,0)</f>
        <v/>
      </c>
      <c r="AB74" s="28">
        <f>IF(AND($A74&lt;&gt;"",$B74="Program",$F74="",$Q74=1),1,0)</f>
        <v/>
      </c>
      <c r="AC74" s="28">
        <f>IF(OR($A74="",$D74="Completed",$D74="Terminated"),0,IF($C74="",1,IF($C74="Portfolio",0,IF($C74="Outside the portfolio",IF($Q74=1,2,0),IF($B74="Project",IF(IFERROR(INDEX($B$6:$B$305,MATCH($C74,$A$6:$A$305,0)),"")="Program",0,1),1)))))</f>
        <v/>
      </c>
      <c r="AD74" s="28">
        <f>IF(AND($A74&lt;&gt;"",OR($M74="■ Red",$M74="◧ Amber"),$L74=""),1,0)</f>
        <v/>
      </c>
      <c r="AE74" s="28">
        <f>$AA74+$AB74+IF($AC74&gt;0,1,0)+$AD74+$AG74+$AH74</f>
        <v/>
      </c>
      <c r="AF74" s="25" t="n"/>
      <c r="AG74" s="28">
        <f>IF(AND($A74&lt;&gt;"",$K74&lt;&gt;"",$C74&lt;&gt;"Portfolio",$D74&lt;&gt;"Completed",$D74&lt;&gt;"Terminated"),1,0)</f>
        <v/>
      </c>
      <c r="AH74" s="28">
        <f>IF(AND($A74&lt;&gt;"",COUNTIF($A$6:$A$305,$A74)&gt;1),1,0)</f>
        <v/>
      </c>
      <c r="AI74" s="28">
        <f>IF(AND($A74&lt;&gt;"",$C74="Portfolio"),COUNTIFS($C$6:$C74,"Portfolio",$A$6:$A74,"&lt;&gt;"),"")</f>
        <v/>
      </c>
    </row>
    <row r="75">
      <c r="A75" s="25" t="n"/>
      <c r="B75" s="25" t="n"/>
      <c r="C75" s="25" t="n"/>
      <c r="D75" s="25" t="n"/>
      <c r="E75" s="25" t="n"/>
      <c r="F75" s="25" t="n"/>
      <c r="G75" s="25" t="n"/>
      <c r="H75" s="26" t="n"/>
      <c r="I75" s="26" t="n"/>
      <c r="J75" s="27" t="n"/>
      <c r="K75" s="27" t="n"/>
      <c r="L75" s="23" t="n"/>
      <c r="M75" s="28">
        <f>IF($A75="","",IF($D75="","Not read",IF($Q75=0,"Not counted",IF(MAX($X75,$Y75)=3,"■ Red",IF(MAX($X75,$Y75)=2,"◧ Amber",IF(MAX($X75,$Y75)=1,"□ On track","Not read"))))))</f>
        <v/>
      </c>
      <c r="N75" s="28">
        <f>IF(OR($A75="",$B75&lt;&gt;"Program"),"","■ "&amp;COUNTIFS($C$6:$C$305,$A75,$M$6:$M$305,"■ Red")&amp;" Red, ◧ "&amp;COUNTIFS($C$6:$C$305,$A75,$M$6:$M$305,"◧ Amber")&amp;" Amber")</f>
        <v/>
      </c>
      <c r="O75" s="29">
        <f>IF(OR($A75="",$E75=""),"",COUNTIFS($E$6:$E$305,$E75,$D$6:$D$305,"Active")+COUNTIFS($E$6:$E$305,$E75,$D$6:$D$305,"Paused"))</f>
        <v/>
      </c>
      <c r="P75" s="28">
        <f>IF($A75="","",IF($AE75=0,"○ Clear",IF($AA75=1,"△ No owner",IF($AC75=1,"△ Check Sits under",IF($AC75=2,"△ Outside the portfolio",IF($AB75=1,"△ No sponsor",IF($AH75=1,"△ Name used twice",IF($AG75=1,"△ Budget only counts under Portfolio","△ No variance note"))))))&amp;IF($AE75&gt;1," (+"&amp;($AE75-1)&amp;" more)","")))</f>
        <v/>
      </c>
      <c r="Q75" s="28">
        <f>IF(AND($A75&lt;&gt;"",OR($D75="Active",$D75="Paused")),1,0)</f>
        <v/>
      </c>
      <c r="R75" s="28">
        <f>IFERROR(INDEX($A$6:$A$305,MATCH(68,$S$6:$S$305,0)),"")</f>
        <v/>
      </c>
      <c r="S75" s="28">
        <f>IF(AND($A75&lt;&gt;"",$B75="Program"),COUNTIFS($B$6:$B75,"Program",$A$6:$A75,"&lt;&gt;"),"")</f>
        <v/>
      </c>
      <c r="T75" s="30">
        <f>IF(AND($A75&lt;&gt;"",$B75="Program"),SUMPRODUCT(MAX(($C$6:$C$305=$A75)*($B$6:$B$305="Project")*($D$6:$D$305&lt;&gt;"Proposed")*$I$6:$I$305)),0)</f>
        <v/>
      </c>
      <c r="U75" s="30">
        <f>IF($I75&lt;&gt;"",$I75,IF($T75&gt;0,$T75,""))</f>
        <v/>
      </c>
      <c r="V75" s="28">
        <f>IF(AND($A75&lt;&gt;"",$B75="Program"),SUMIFS($J$6:$J$305,$C$6:$C$305,$A75,$B$6:$B$305,"Project",$D$6:$D$305,"&lt;&gt;Proposed"),0)</f>
        <v/>
      </c>
      <c r="W75" s="28">
        <f>IF(AND($A75&lt;&gt;"",$B75="Program"),COUNTIFS($C$6:$C$305,$A75,$B$6:$B$305,"Project",$D$6:$D$305,"&lt;&gt;Proposed")-COUNTIFS($C$6:$C$305,$A75,$B$6:$B$305,"Project",$D$6:$D$305,"&lt;&gt;Proposed",$J$6:$J$305,"&gt;=0"),0)</f>
        <v/>
      </c>
      <c r="X75" s="28">
        <f>IF(OR($Q75=0,$H75="",$AF75="Sprint"),0,IF(AND($B75="Project",$H75&lt;TODAY()),3,IF($U75="",0,IF($U75&lt;=$H75,1,IF(NETWORKDAYS($H75,$U75)-1&gt;IF($B75="Program",Checks!$B$7,Checks!$B$6),3,2)))))</f>
        <v/>
      </c>
      <c r="Y75" s="28">
        <f>IF(OR($Q75=0,$K75="",$K75=0,$AF75="Sprint"),0,IF(AND($B75="Project",$J75=""),0,IF(IF($B75="Program",$V75,$J75)&gt;$K75*(1+Checks!$B$8),3,IF(IF($B75="Program",$V75,$J75)&gt;$K75,2,IF(AND($B75="Program",OR($W75&gt;0,$V75=0)),0,1)))))</f>
        <v/>
      </c>
      <c r="Z75" s="28">
        <f>IF($A75="",0,IF($C75="Portfolio",1,IF(AND($B75="Project",$C75&lt;&gt;"",$C75&lt;&gt;"Outside the portfolio"),IFERROR(IF(AND(INDEX($B$6:$B$305,MATCH($C75,$A$6:$A$305,0))="Program",INDEX($C$6:$C$305,MATCH($C75,$A$6:$A$305,0))="Portfolio"),1,0),0),0)))</f>
        <v/>
      </c>
      <c r="AA75" s="28">
        <f>IF(AND($A75&lt;&gt;"",$E75="",OR($Q75=1,$D75="Proposed")),1,0)</f>
        <v/>
      </c>
      <c r="AB75" s="28">
        <f>IF(AND($A75&lt;&gt;"",$B75="Program",$F75="",$Q75=1),1,0)</f>
        <v/>
      </c>
      <c r="AC75" s="28">
        <f>IF(OR($A75="",$D75="Completed",$D75="Terminated"),0,IF($C75="",1,IF($C75="Portfolio",0,IF($C75="Outside the portfolio",IF($Q75=1,2,0),IF($B75="Project",IF(IFERROR(INDEX($B$6:$B$305,MATCH($C75,$A$6:$A$305,0)),"")="Program",0,1),1)))))</f>
        <v/>
      </c>
      <c r="AD75" s="28">
        <f>IF(AND($A75&lt;&gt;"",OR($M75="■ Red",$M75="◧ Amber"),$L75=""),1,0)</f>
        <v/>
      </c>
      <c r="AE75" s="28">
        <f>$AA75+$AB75+IF($AC75&gt;0,1,0)+$AD75+$AG75+$AH75</f>
        <v/>
      </c>
      <c r="AF75" s="25" t="n"/>
      <c r="AG75" s="28">
        <f>IF(AND($A75&lt;&gt;"",$K75&lt;&gt;"",$C75&lt;&gt;"Portfolio",$D75&lt;&gt;"Completed",$D75&lt;&gt;"Terminated"),1,0)</f>
        <v/>
      </c>
      <c r="AH75" s="28">
        <f>IF(AND($A75&lt;&gt;"",COUNTIF($A$6:$A$305,$A75)&gt;1),1,0)</f>
        <v/>
      </c>
      <c r="AI75" s="28">
        <f>IF(AND($A75&lt;&gt;"",$C75="Portfolio"),COUNTIFS($C$6:$C75,"Portfolio",$A$6:$A75,"&lt;&gt;"),"")</f>
        <v/>
      </c>
    </row>
    <row r="76">
      <c r="A76" s="25" t="n"/>
      <c r="B76" s="25" t="n"/>
      <c r="C76" s="25" t="n"/>
      <c r="D76" s="25" t="n"/>
      <c r="E76" s="25" t="n"/>
      <c r="F76" s="25" t="n"/>
      <c r="G76" s="25" t="n"/>
      <c r="H76" s="26" t="n"/>
      <c r="I76" s="26" t="n"/>
      <c r="J76" s="27" t="n"/>
      <c r="K76" s="27" t="n"/>
      <c r="L76" s="23" t="n"/>
      <c r="M76" s="28">
        <f>IF($A76="","",IF($D76="","Not read",IF($Q76=0,"Not counted",IF(MAX($X76,$Y76)=3,"■ Red",IF(MAX($X76,$Y76)=2,"◧ Amber",IF(MAX($X76,$Y76)=1,"□ On track","Not read"))))))</f>
        <v/>
      </c>
      <c r="N76" s="28">
        <f>IF(OR($A76="",$B76&lt;&gt;"Program"),"","■ "&amp;COUNTIFS($C$6:$C$305,$A76,$M$6:$M$305,"■ Red")&amp;" Red, ◧ "&amp;COUNTIFS($C$6:$C$305,$A76,$M$6:$M$305,"◧ Amber")&amp;" Amber")</f>
        <v/>
      </c>
      <c r="O76" s="29">
        <f>IF(OR($A76="",$E76=""),"",COUNTIFS($E$6:$E$305,$E76,$D$6:$D$305,"Active")+COUNTIFS($E$6:$E$305,$E76,$D$6:$D$305,"Paused"))</f>
        <v/>
      </c>
      <c r="P76" s="28">
        <f>IF($A76="","",IF($AE76=0,"○ Clear",IF($AA76=1,"△ No owner",IF($AC76=1,"△ Check Sits under",IF($AC76=2,"△ Outside the portfolio",IF($AB76=1,"△ No sponsor",IF($AH76=1,"△ Name used twice",IF($AG76=1,"△ Budget only counts under Portfolio","△ No variance note"))))))&amp;IF($AE76&gt;1," (+"&amp;($AE76-1)&amp;" more)","")))</f>
        <v/>
      </c>
      <c r="Q76" s="28">
        <f>IF(AND($A76&lt;&gt;"",OR($D76="Active",$D76="Paused")),1,0)</f>
        <v/>
      </c>
      <c r="R76" s="28">
        <f>IFERROR(INDEX($A$6:$A$305,MATCH(69,$S$6:$S$305,0)),"")</f>
        <v/>
      </c>
      <c r="S76" s="28">
        <f>IF(AND($A76&lt;&gt;"",$B76="Program"),COUNTIFS($B$6:$B76,"Program",$A$6:$A76,"&lt;&gt;"),"")</f>
        <v/>
      </c>
      <c r="T76" s="30">
        <f>IF(AND($A76&lt;&gt;"",$B76="Program"),SUMPRODUCT(MAX(($C$6:$C$305=$A76)*($B$6:$B$305="Project")*($D$6:$D$305&lt;&gt;"Proposed")*$I$6:$I$305)),0)</f>
        <v/>
      </c>
      <c r="U76" s="30">
        <f>IF($I76&lt;&gt;"",$I76,IF($T76&gt;0,$T76,""))</f>
        <v/>
      </c>
      <c r="V76" s="28">
        <f>IF(AND($A76&lt;&gt;"",$B76="Program"),SUMIFS($J$6:$J$305,$C$6:$C$305,$A76,$B$6:$B$305,"Project",$D$6:$D$305,"&lt;&gt;Proposed"),0)</f>
        <v/>
      </c>
      <c r="W76" s="28">
        <f>IF(AND($A76&lt;&gt;"",$B76="Program"),COUNTIFS($C$6:$C$305,$A76,$B$6:$B$305,"Project",$D$6:$D$305,"&lt;&gt;Proposed")-COUNTIFS($C$6:$C$305,$A76,$B$6:$B$305,"Project",$D$6:$D$305,"&lt;&gt;Proposed",$J$6:$J$305,"&gt;=0"),0)</f>
        <v/>
      </c>
      <c r="X76" s="28">
        <f>IF(OR($Q76=0,$H76="",$AF76="Sprint"),0,IF(AND($B76="Project",$H76&lt;TODAY()),3,IF($U76="",0,IF($U76&lt;=$H76,1,IF(NETWORKDAYS($H76,$U76)-1&gt;IF($B76="Program",Checks!$B$7,Checks!$B$6),3,2)))))</f>
        <v/>
      </c>
      <c r="Y76" s="28">
        <f>IF(OR($Q76=0,$K76="",$K76=0,$AF76="Sprint"),0,IF(AND($B76="Project",$J76=""),0,IF(IF($B76="Program",$V76,$J76)&gt;$K76*(1+Checks!$B$8),3,IF(IF($B76="Program",$V76,$J76)&gt;$K76,2,IF(AND($B76="Program",OR($W76&gt;0,$V76=0)),0,1)))))</f>
        <v/>
      </c>
      <c r="Z76" s="28">
        <f>IF($A76="",0,IF($C76="Portfolio",1,IF(AND($B76="Project",$C76&lt;&gt;"",$C76&lt;&gt;"Outside the portfolio"),IFERROR(IF(AND(INDEX($B$6:$B$305,MATCH($C76,$A$6:$A$305,0))="Program",INDEX($C$6:$C$305,MATCH($C76,$A$6:$A$305,0))="Portfolio"),1,0),0),0)))</f>
        <v/>
      </c>
      <c r="AA76" s="28">
        <f>IF(AND($A76&lt;&gt;"",$E76="",OR($Q76=1,$D76="Proposed")),1,0)</f>
        <v/>
      </c>
      <c r="AB76" s="28">
        <f>IF(AND($A76&lt;&gt;"",$B76="Program",$F76="",$Q76=1),1,0)</f>
        <v/>
      </c>
      <c r="AC76" s="28">
        <f>IF(OR($A76="",$D76="Completed",$D76="Terminated"),0,IF($C76="",1,IF($C76="Portfolio",0,IF($C76="Outside the portfolio",IF($Q76=1,2,0),IF($B76="Project",IF(IFERROR(INDEX($B$6:$B$305,MATCH($C76,$A$6:$A$305,0)),"")="Program",0,1),1)))))</f>
        <v/>
      </c>
      <c r="AD76" s="28">
        <f>IF(AND($A76&lt;&gt;"",OR($M76="■ Red",$M76="◧ Amber"),$L76=""),1,0)</f>
        <v/>
      </c>
      <c r="AE76" s="28">
        <f>$AA76+$AB76+IF($AC76&gt;0,1,0)+$AD76+$AG76+$AH76</f>
        <v/>
      </c>
      <c r="AF76" s="25" t="n"/>
      <c r="AG76" s="28">
        <f>IF(AND($A76&lt;&gt;"",$K76&lt;&gt;"",$C76&lt;&gt;"Portfolio",$D76&lt;&gt;"Completed",$D76&lt;&gt;"Terminated"),1,0)</f>
        <v/>
      </c>
      <c r="AH76" s="28">
        <f>IF(AND($A76&lt;&gt;"",COUNTIF($A$6:$A$305,$A76)&gt;1),1,0)</f>
        <v/>
      </c>
      <c r="AI76" s="28">
        <f>IF(AND($A76&lt;&gt;"",$C76="Portfolio"),COUNTIFS($C$6:$C76,"Portfolio",$A$6:$A76,"&lt;&gt;"),"")</f>
        <v/>
      </c>
    </row>
    <row r="77">
      <c r="A77" s="25" t="n"/>
      <c r="B77" s="25" t="n"/>
      <c r="C77" s="25" t="n"/>
      <c r="D77" s="25" t="n"/>
      <c r="E77" s="25" t="n"/>
      <c r="F77" s="25" t="n"/>
      <c r="G77" s="25" t="n"/>
      <c r="H77" s="26" t="n"/>
      <c r="I77" s="26" t="n"/>
      <c r="J77" s="27" t="n"/>
      <c r="K77" s="27" t="n"/>
      <c r="L77" s="23" t="n"/>
      <c r="M77" s="28">
        <f>IF($A77="","",IF($D77="","Not read",IF($Q77=0,"Not counted",IF(MAX($X77,$Y77)=3,"■ Red",IF(MAX($X77,$Y77)=2,"◧ Amber",IF(MAX($X77,$Y77)=1,"□ On track","Not read"))))))</f>
        <v/>
      </c>
      <c r="N77" s="28">
        <f>IF(OR($A77="",$B77&lt;&gt;"Program"),"","■ "&amp;COUNTIFS($C$6:$C$305,$A77,$M$6:$M$305,"■ Red")&amp;" Red, ◧ "&amp;COUNTIFS($C$6:$C$305,$A77,$M$6:$M$305,"◧ Amber")&amp;" Amber")</f>
        <v/>
      </c>
      <c r="O77" s="29">
        <f>IF(OR($A77="",$E77=""),"",COUNTIFS($E$6:$E$305,$E77,$D$6:$D$305,"Active")+COUNTIFS($E$6:$E$305,$E77,$D$6:$D$305,"Paused"))</f>
        <v/>
      </c>
      <c r="P77" s="28">
        <f>IF($A77="","",IF($AE77=0,"○ Clear",IF($AA77=1,"△ No owner",IF($AC77=1,"△ Check Sits under",IF($AC77=2,"△ Outside the portfolio",IF($AB77=1,"△ No sponsor",IF($AH77=1,"△ Name used twice",IF($AG77=1,"△ Budget only counts under Portfolio","△ No variance note"))))))&amp;IF($AE77&gt;1," (+"&amp;($AE77-1)&amp;" more)","")))</f>
        <v/>
      </c>
      <c r="Q77" s="28">
        <f>IF(AND($A77&lt;&gt;"",OR($D77="Active",$D77="Paused")),1,0)</f>
        <v/>
      </c>
      <c r="R77" s="28">
        <f>IFERROR(INDEX($A$6:$A$305,MATCH(70,$S$6:$S$305,0)),"")</f>
        <v/>
      </c>
      <c r="S77" s="28">
        <f>IF(AND($A77&lt;&gt;"",$B77="Program"),COUNTIFS($B$6:$B77,"Program",$A$6:$A77,"&lt;&gt;"),"")</f>
        <v/>
      </c>
      <c r="T77" s="30">
        <f>IF(AND($A77&lt;&gt;"",$B77="Program"),SUMPRODUCT(MAX(($C$6:$C$305=$A77)*($B$6:$B$305="Project")*($D$6:$D$305&lt;&gt;"Proposed")*$I$6:$I$305)),0)</f>
        <v/>
      </c>
      <c r="U77" s="30">
        <f>IF($I77&lt;&gt;"",$I77,IF($T77&gt;0,$T77,""))</f>
        <v/>
      </c>
      <c r="V77" s="28">
        <f>IF(AND($A77&lt;&gt;"",$B77="Program"),SUMIFS($J$6:$J$305,$C$6:$C$305,$A77,$B$6:$B$305,"Project",$D$6:$D$305,"&lt;&gt;Proposed"),0)</f>
        <v/>
      </c>
      <c r="W77" s="28">
        <f>IF(AND($A77&lt;&gt;"",$B77="Program"),COUNTIFS($C$6:$C$305,$A77,$B$6:$B$305,"Project",$D$6:$D$305,"&lt;&gt;Proposed")-COUNTIFS($C$6:$C$305,$A77,$B$6:$B$305,"Project",$D$6:$D$305,"&lt;&gt;Proposed",$J$6:$J$305,"&gt;=0"),0)</f>
        <v/>
      </c>
      <c r="X77" s="28">
        <f>IF(OR($Q77=0,$H77="",$AF77="Sprint"),0,IF(AND($B77="Project",$H77&lt;TODAY()),3,IF($U77="",0,IF($U77&lt;=$H77,1,IF(NETWORKDAYS($H77,$U77)-1&gt;IF($B77="Program",Checks!$B$7,Checks!$B$6),3,2)))))</f>
        <v/>
      </c>
      <c r="Y77" s="28">
        <f>IF(OR($Q77=0,$K77="",$K77=0,$AF77="Sprint"),0,IF(AND($B77="Project",$J77=""),0,IF(IF($B77="Program",$V77,$J77)&gt;$K77*(1+Checks!$B$8),3,IF(IF($B77="Program",$V77,$J77)&gt;$K77,2,IF(AND($B77="Program",OR($W77&gt;0,$V77=0)),0,1)))))</f>
        <v/>
      </c>
      <c r="Z77" s="28">
        <f>IF($A77="",0,IF($C77="Portfolio",1,IF(AND($B77="Project",$C77&lt;&gt;"",$C77&lt;&gt;"Outside the portfolio"),IFERROR(IF(AND(INDEX($B$6:$B$305,MATCH($C77,$A$6:$A$305,0))="Program",INDEX($C$6:$C$305,MATCH($C77,$A$6:$A$305,0))="Portfolio"),1,0),0),0)))</f>
        <v/>
      </c>
      <c r="AA77" s="28">
        <f>IF(AND($A77&lt;&gt;"",$E77="",OR($Q77=1,$D77="Proposed")),1,0)</f>
        <v/>
      </c>
      <c r="AB77" s="28">
        <f>IF(AND($A77&lt;&gt;"",$B77="Program",$F77="",$Q77=1),1,0)</f>
        <v/>
      </c>
      <c r="AC77" s="28">
        <f>IF(OR($A77="",$D77="Completed",$D77="Terminated"),0,IF($C77="",1,IF($C77="Portfolio",0,IF($C77="Outside the portfolio",IF($Q77=1,2,0),IF($B77="Project",IF(IFERROR(INDEX($B$6:$B$305,MATCH($C77,$A$6:$A$305,0)),"")="Program",0,1),1)))))</f>
        <v/>
      </c>
      <c r="AD77" s="28">
        <f>IF(AND($A77&lt;&gt;"",OR($M77="■ Red",$M77="◧ Amber"),$L77=""),1,0)</f>
        <v/>
      </c>
      <c r="AE77" s="28">
        <f>$AA77+$AB77+IF($AC77&gt;0,1,0)+$AD77+$AG77+$AH77</f>
        <v/>
      </c>
      <c r="AF77" s="25" t="n"/>
      <c r="AG77" s="28">
        <f>IF(AND($A77&lt;&gt;"",$K77&lt;&gt;"",$C77&lt;&gt;"Portfolio",$D77&lt;&gt;"Completed",$D77&lt;&gt;"Terminated"),1,0)</f>
        <v/>
      </c>
      <c r="AH77" s="28">
        <f>IF(AND($A77&lt;&gt;"",COUNTIF($A$6:$A$305,$A77)&gt;1),1,0)</f>
        <v/>
      </c>
      <c r="AI77" s="28">
        <f>IF(AND($A77&lt;&gt;"",$C77="Portfolio"),COUNTIFS($C$6:$C77,"Portfolio",$A$6:$A77,"&lt;&gt;"),"")</f>
        <v/>
      </c>
    </row>
    <row r="78">
      <c r="A78" s="25" t="n"/>
      <c r="B78" s="25" t="n"/>
      <c r="C78" s="25" t="n"/>
      <c r="D78" s="25" t="n"/>
      <c r="E78" s="25" t="n"/>
      <c r="F78" s="25" t="n"/>
      <c r="G78" s="25" t="n"/>
      <c r="H78" s="26" t="n"/>
      <c r="I78" s="26" t="n"/>
      <c r="J78" s="27" t="n"/>
      <c r="K78" s="27" t="n"/>
      <c r="L78" s="23" t="n"/>
      <c r="M78" s="28">
        <f>IF($A78="","",IF($D78="","Not read",IF($Q78=0,"Not counted",IF(MAX($X78,$Y78)=3,"■ Red",IF(MAX($X78,$Y78)=2,"◧ Amber",IF(MAX($X78,$Y78)=1,"□ On track","Not read"))))))</f>
        <v/>
      </c>
      <c r="N78" s="28">
        <f>IF(OR($A78="",$B78&lt;&gt;"Program"),"","■ "&amp;COUNTIFS($C$6:$C$305,$A78,$M$6:$M$305,"■ Red")&amp;" Red, ◧ "&amp;COUNTIFS($C$6:$C$305,$A78,$M$6:$M$305,"◧ Amber")&amp;" Amber")</f>
        <v/>
      </c>
      <c r="O78" s="29">
        <f>IF(OR($A78="",$E78=""),"",COUNTIFS($E$6:$E$305,$E78,$D$6:$D$305,"Active")+COUNTIFS($E$6:$E$305,$E78,$D$6:$D$305,"Paused"))</f>
        <v/>
      </c>
      <c r="P78" s="28">
        <f>IF($A78="","",IF($AE78=0,"○ Clear",IF($AA78=1,"△ No owner",IF($AC78=1,"△ Check Sits under",IF($AC78=2,"△ Outside the portfolio",IF($AB78=1,"△ No sponsor",IF($AH78=1,"△ Name used twice",IF($AG78=1,"△ Budget only counts under Portfolio","△ No variance note"))))))&amp;IF($AE78&gt;1," (+"&amp;($AE78-1)&amp;" more)","")))</f>
        <v/>
      </c>
      <c r="Q78" s="28">
        <f>IF(AND($A78&lt;&gt;"",OR($D78="Active",$D78="Paused")),1,0)</f>
        <v/>
      </c>
      <c r="R78" s="28">
        <f>IFERROR(INDEX($A$6:$A$305,MATCH(71,$S$6:$S$305,0)),"")</f>
        <v/>
      </c>
      <c r="S78" s="28">
        <f>IF(AND($A78&lt;&gt;"",$B78="Program"),COUNTIFS($B$6:$B78,"Program",$A$6:$A78,"&lt;&gt;"),"")</f>
        <v/>
      </c>
      <c r="T78" s="30">
        <f>IF(AND($A78&lt;&gt;"",$B78="Program"),SUMPRODUCT(MAX(($C$6:$C$305=$A78)*($B$6:$B$305="Project")*($D$6:$D$305&lt;&gt;"Proposed")*$I$6:$I$305)),0)</f>
        <v/>
      </c>
      <c r="U78" s="30">
        <f>IF($I78&lt;&gt;"",$I78,IF($T78&gt;0,$T78,""))</f>
        <v/>
      </c>
      <c r="V78" s="28">
        <f>IF(AND($A78&lt;&gt;"",$B78="Program"),SUMIFS($J$6:$J$305,$C$6:$C$305,$A78,$B$6:$B$305,"Project",$D$6:$D$305,"&lt;&gt;Proposed"),0)</f>
        <v/>
      </c>
      <c r="W78" s="28">
        <f>IF(AND($A78&lt;&gt;"",$B78="Program"),COUNTIFS($C$6:$C$305,$A78,$B$6:$B$305,"Project",$D$6:$D$305,"&lt;&gt;Proposed")-COUNTIFS($C$6:$C$305,$A78,$B$6:$B$305,"Project",$D$6:$D$305,"&lt;&gt;Proposed",$J$6:$J$305,"&gt;=0"),0)</f>
        <v/>
      </c>
      <c r="X78" s="28">
        <f>IF(OR($Q78=0,$H78="",$AF78="Sprint"),0,IF(AND($B78="Project",$H78&lt;TODAY()),3,IF($U78="",0,IF($U78&lt;=$H78,1,IF(NETWORKDAYS($H78,$U78)-1&gt;IF($B78="Program",Checks!$B$7,Checks!$B$6),3,2)))))</f>
        <v/>
      </c>
      <c r="Y78" s="28">
        <f>IF(OR($Q78=0,$K78="",$K78=0,$AF78="Sprint"),0,IF(AND($B78="Project",$J78=""),0,IF(IF($B78="Program",$V78,$J78)&gt;$K78*(1+Checks!$B$8),3,IF(IF($B78="Program",$V78,$J78)&gt;$K78,2,IF(AND($B78="Program",OR($W78&gt;0,$V78=0)),0,1)))))</f>
        <v/>
      </c>
      <c r="Z78" s="28">
        <f>IF($A78="",0,IF($C78="Portfolio",1,IF(AND($B78="Project",$C78&lt;&gt;"",$C78&lt;&gt;"Outside the portfolio"),IFERROR(IF(AND(INDEX($B$6:$B$305,MATCH($C78,$A$6:$A$305,0))="Program",INDEX($C$6:$C$305,MATCH($C78,$A$6:$A$305,0))="Portfolio"),1,0),0),0)))</f>
        <v/>
      </c>
      <c r="AA78" s="28">
        <f>IF(AND($A78&lt;&gt;"",$E78="",OR($Q78=1,$D78="Proposed")),1,0)</f>
        <v/>
      </c>
      <c r="AB78" s="28">
        <f>IF(AND($A78&lt;&gt;"",$B78="Program",$F78="",$Q78=1),1,0)</f>
        <v/>
      </c>
      <c r="AC78" s="28">
        <f>IF(OR($A78="",$D78="Completed",$D78="Terminated"),0,IF($C78="",1,IF($C78="Portfolio",0,IF($C78="Outside the portfolio",IF($Q78=1,2,0),IF($B78="Project",IF(IFERROR(INDEX($B$6:$B$305,MATCH($C78,$A$6:$A$305,0)),"")="Program",0,1),1)))))</f>
        <v/>
      </c>
      <c r="AD78" s="28">
        <f>IF(AND($A78&lt;&gt;"",OR($M78="■ Red",$M78="◧ Amber"),$L78=""),1,0)</f>
        <v/>
      </c>
      <c r="AE78" s="28">
        <f>$AA78+$AB78+IF($AC78&gt;0,1,0)+$AD78+$AG78+$AH78</f>
        <v/>
      </c>
      <c r="AF78" s="25" t="n"/>
      <c r="AG78" s="28">
        <f>IF(AND($A78&lt;&gt;"",$K78&lt;&gt;"",$C78&lt;&gt;"Portfolio",$D78&lt;&gt;"Completed",$D78&lt;&gt;"Terminated"),1,0)</f>
        <v/>
      </c>
      <c r="AH78" s="28">
        <f>IF(AND($A78&lt;&gt;"",COUNTIF($A$6:$A$305,$A78)&gt;1),1,0)</f>
        <v/>
      </c>
      <c r="AI78" s="28">
        <f>IF(AND($A78&lt;&gt;"",$C78="Portfolio"),COUNTIFS($C$6:$C78,"Portfolio",$A$6:$A78,"&lt;&gt;"),"")</f>
        <v/>
      </c>
    </row>
    <row r="79">
      <c r="A79" s="25" t="n"/>
      <c r="B79" s="25" t="n"/>
      <c r="C79" s="25" t="n"/>
      <c r="D79" s="25" t="n"/>
      <c r="E79" s="25" t="n"/>
      <c r="F79" s="25" t="n"/>
      <c r="G79" s="25" t="n"/>
      <c r="H79" s="26" t="n"/>
      <c r="I79" s="26" t="n"/>
      <c r="J79" s="27" t="n"/>
      <c r="K79" s="27" t="n"/>
      <c r="L79" s="23" t="n"/>
      <c r="M79" s="28">
        <f>IF($A79="","",IF($D79="","Not read",IF($Q79=0,"Not counted",IF(MAX($X79,$Y79)=3,"■ Red",IF(MAX($X79,$Y79)=2,"◧ Amber",IF(MAX($X79,$Y79)=1,"□ On track","Not read"))))))</f>
        <v/>
      </c>
      <c r="N79" s="28">
        <f>IF(OR($A79="",$B79&lt;&gt;"Program"),"","■ "&amp;COUNTIFS($C$6:$C$305,$A79,$M$6:$M$305,"■ Red")&amp;" Red, ◧ "&amp;COUNTIFS($C$6:$C$305,$A79,$M$6:$M$305,"◧ Amber")&amp;" Amber")</f>
        <v/>
      </c>
      <c r="O79" s="29">
        <f>IF(OR($A79="",$E79=""),"",COUNTIFS($E$6:$E$305,$E79,$D$6:$D$305,"Active")+COUNTIFS($E$6:$E$305,$E79,$D$6:$D$305,"Paused"))</f>
        <v/>
      </c>
      <c r="P79" s="28">
        <f>IF($A79="","",IF($AE79=0,"○ Clear",IF($AA79=1,"△ No owner",IF($AC79=1,"△ Check Sits under",IF($AC79=2,"△ Outside the portfolio",IF($AB79=1,"△ No sponsor",IF($AH79=1,"△ Name used twice",IF($AG79=1,"△ Budget only counts under Portfolio","△ No variance note"))))))&amp;IF($AE79&gt;1," (+"&amp;($AE79-1)&amp;" more)","")))</f>
        <v/>
      </c>
      <c r="Q79" s="28">
        <f>IF(AND($A79&lt;&gt;"",OR($D79="Active",$D79="Paused")),1,0)</f>
        <v/>
      </c>
      <c r="R79" s="28">
        <f>IFERROR(INDEX($A$6:$A$305,MATCH(72,$S$6:$S$305,0)),"")</f>
        <v/>
      </c>
      <c r="S79" s="28">
        <f>IF(AND($A79&lt;&gt;"",$B79="Program"),COUNTIFS($B$6:$B79,"Program",$A$6:$A79,"&lt;&gt;"),"")</f>
        <v/>
      </c>
      <c r="T79" s="30">
        <f>IF(AND($A79&lt;&gt;"",$B79="Program"),SUMPRODUCT(MAX(($C$6:$C$305=$A79)*($B$6:$B$305="Project")*($D$6:$D$305&lt;&gt;"Proposed")*$I$6:$I$305)),0)</f>
        <v/>
      </c>
      <c r="U79" s="30">
        <f>IF($I79&lt;&gt;"",$I79,IF($T79&gt;0,$T79,""))</f>
        <v/>
      </c>
      <c r="V79" s="28">
        <f>IF(AND($A79&lt;&gt;"",$B79="Program"),SUMIFS($J$6:$J$305,$C$6:$C$305,$A79,$B$6:$B$305,"Project",$D$6:$D$305,"&lt;&gt;Proposed"),0)</f>
        <v/>
      </c>
      <c r="W79" s="28">
        <f>IF(AND($A79&lt;&gt;"",$B79="Program"),COUNTIFS($C$6:$C$305,$A79,$B$6:$B$305,"Project",$D$6:$D$305,"&lt;&gt;Proposed")-COUNTIFS($C$6:$C$305,$A79,$B$6:$B$305,"Project",$D$6:$D$305,"&lt;&gt;Proposed",$J$6:$J$305,"&gt;=0"),0)</f>
        <v/>
      </c>
      <c r="X79" s="28">
        <f>IF(OR($Q79=0,$H79="",$AF79="Sprint"),0,IF(AND($B79="Project",$H79&lt;TODAY()),3,IF($U79="",0,IF($U79&lt;=$H79,1,IF(NETWORKDAYS($H79,$U79)-1&gt;IF($B79="Program",Checks!$B$7,Checks!$B$6),3,2)))))</f>
        <v/>
      </c>
      <c r="Y79" s="28">
        <f>IF(OR($Q79=0,$K79="",$K79=0,$AF79="Sprint"),0,IF(AND($B79="Project",$J79=""),0,IF(IF($B79="Program",$V79,$J79)&gt;$K79*(1+Checks!$B$8),3,IF(IF($B79="Program",$V79,$J79)&gt;$K79,2,IF(AND($B79="Program",OR($W79&gt;0,$V79=0)),0,1)))))</f>
        <v/>
      </c>
      <c r="Z79" s="28">
        <f>IF($A79="",0,IF($C79="Portfolio",1,IF(AND($B79="Project",$C79&lt;&gt;"",$C79&lt;&gt;"Outside the portfolio"),IFERROR(IF(AND(INDEX($B$6:$B$305,MATCH($C79,$A$6:$A$305,0))="Program",INDEX($C$6:$C$305,MATCH($C79,$A$6:$A$305,0))="Portfolio"),1,0),0),0)))</f>
        <v/>
      </c>
      <c r="AA79" s="28">
        <f>IF(AND($A79&lt;&gt;"",$E79="",OR($Q79=1,$D79="Proposed")),1,0)</f>
        <v/>
      </c>
      <c r="AB79" s="28">
        <f>IF(AND($A79&lt;&gt;"",$B79="Program",$F79="",$Q79=1),1,0)</f>
        <v/>
      </c>
      <c r="AC79" s="28">
        <f>IF(OR($A79="",$D79="Completed",$D79="Terminated"),0,IF($C79="",1,IF($C79="Portfolio",0,IF($C79="Outside the portfolio",IF($Q79=1,2,0),IF($B79="Project",IF(IFERROR(INDEX($B$6:$B$305,MATCH($C79,$A$6:$A$305,0)),"")="Program",0,1),1)))))</f>
        <v/>
      </c>
      <c r="AD79" s="28">
        <f>IF(AND($A79&lt;&gt;"",OR($M79="■ Red",$M79="◧ Amber"),$L79=""),1,0)</f>
        <v/>
      </c>
      <c r="AE79" s="28">
        <f>$AA79+$AB79+IF($AC79&gt;0,1,0)+$AD79+$AG79+$AH79</f>
        <v/>
      </c>
      <c r="AF79" s="25" t="n"/>
      <c r="AG79" s="28">
        <f>IF(AND($A79&lt;&gt;"",$K79&lt;&gt;"",$C79&lt;&gt;"Portfolio",$D79&lt;&gt;"Completed",$D79&lt;&gt;"Terminated"),1,0)</f>
        <v/>
      </c>
      <c r="AH79" s="28">
        <f>IF(AND($A79&lt;&gt;"",COUNTIF($A$6:$A$305,$A79)&gt;1),1,0)</f>
        <v/>
      </c>
      <c r="AI79" s="28">
        <f>IF(AND($A79&lt;&gt;"",$C79="Portfolio"),COUNTIFS($C$6:$C79,"Portfolio",$A$6:$A79,"&lt;&gt;"),"")</f>
        <v/>
      </c>
    </row>
    <row r="80">
      <c r="A80" s="25" t="n"/>
      <c r="B80" s="25" t="n"/>
      <c r="C80" s="25" t="n"/>
      <c r="D80" s="25" t="n"/>
      <c r="E80" s="25" t="n"/>
      <c r="F80" s="25" t="n"/>
      <c r="G80" s="25" t="n"/>
      <c r="H80" s="26" t="n"/>
      <c r="I80" s="26" t="n"/>
      <c r="J80" s="27" t="n"/>
      <c r="K80" s="27" t="n"/>
      <c r="L80" s="23" t="n"/>
      <c r="M80" s="28">
        <f>IF($A80="","",IF($D80="","Not read",IF($Q80=0,"Not counted",IF(MAX($X80,$Y80)=3,"■ Red",IF(MAX($X80,$Y80)=2,"◧ Amber",IF(MAX($X80,$Y80)=1,"□ On track","Not read"))))))</f>
        <v/>
      </c>
      <c r="N80" s="28">
        <f>IF(OR($A80="",$B80&lt;&gt;"Program"),"","■ "&amp;COUNTIFS($C$6:$C$305,$A80,$M$6:$M$305,"■ Red")&amp;" Red, ◧ "&amp;COUNTIFS($C$6:$C$305,$A80,$M$6:$M$305,"◧ Amber")&amp;" Amber")</f>
        <v/>
      </c>
      <c r="O80" s="29">
        <f>IF(OR($A80="",$E80=""),"",COUNTIFS($E$6:$E$305,$E80,$D$6:$D$305,"Active")+COUNTIFS($E$6:$E$305,$E80,$D$6:$D$305,"Paused"))</f>
        <v/>
      </c>
      <c r="P80" s="28">
        <f>IF($A80="","",IF($AE80=0,"○ Clear",IF($AA80=1,"△ No owner",IF($AC80=1,"△ Check Sits under",IF($AC80=2,"△ Outside the portfolio",IF($AB80=1,"△ No sponsor",IF($AH80=1,"△ Name used twice",IF($AG80=1,"△ Budget only counts under Portfolio","△ No variance note"))))))&amp;IF($AE80&gt;1," (+"&amp;($AE80-1)&amp;" more)","")))</f>
        <v/>
      </c>
      <c r="Q80" s="28">
        <f>IF(AND($A80&lt;&gt;"",OR($D80="Active",$D80="Paused")),1,0)</f>
        <v/>
      </c>
      <c r="R80" s="28">
        <f>IFERROR(INDEX($A$6:$A$305,MATCH(73,$S$6:$S$305,0)),"")</f>
        <v/>
      </c>
      <c r="S80" s="28">
        <f>IF(AND($A80&lt;&gt;"",$B80="Program"),COUNTIFS($B$6:$B80,"Program",$A$6:$A80,"&lt;&gt;"),"")</f>
        <v/>
      </c>
      <c r="T80" s="30">
        <f>IF(AND($A80&lt;&gt;"",$B80="Program"),SUMPRODUCT(MAX(($C$6:$C$305=$A80)*($B$6:$B$305="Project")*($D$6:$D$305&lt;&gt;"Proposed")*$I$6:$I$305)),0)</f>
        <v/>
      </c>
      <c r="U80" s="30">
        <f>IF($I80&lt;&gt;"",$I80,IF($T80&gt;0,$T80,""))</f>
        <v/>
      </c>
      <c r="V80" s="28">
        <f>IF(AND($A80&lt;&gt;"",$B80="Program"),SUMIFS($J$6:$J$305,$C$6:$C$305,$A80,$B$6:$B$305,"Project",$D$6:$D$305,"&lt;&gt;Proposed"),0)</f>
        <v/>
      </c>
      <c r="W80" s="28">
        <f>IF(AND($A80&lt;&gt;"",$B80="Program"),COUNTIFS($C$6:$C$305,$A80,$B$6:$B$305,"Project",$D$6:$D$305,"&lt;&gt;Proposed")-COUNTIFS($C$6:$C$305,$A80,$B$6:$B$305,"Project",$D$6:$D$305,"&lt;&gt;Proposed",$J$6:$J$305,"&gt;=0"),0)</f>
        <v/>
      </c>
      <c r="X80" s="28">
        <f>IF(OR($Q80=0,$H80="",$AF80="Sprint"),0,IF(AND($B80="Project",$H80&lt;TODAY()),3,IF($U80="",0,IF($U80&lt;=$H80,1,IF(NETWORKDAYS($H80,$U80)-1&gt;IF($B80="Program",Checks!$B$7,Checks!$B$6),3,2)))))</f>
        <v/>
      </c>
      <c r="Y80" s="28">
        <f>IF(OR($Q80=0,$K80="",$K80=0,$AF80="Sprint"),0,IF(AND($B80="Project",$J80=""),0,IF(IF($B80="Program",$V80,$J80)&gt;$K80*(1+Checks!$B$8),3,IF(IF($B80="Program",$V80,$J80)&gt;$K80,2,IF(AND($B80="Program",OR($W80&gt;0,$V80=0)),0,1)))))</f>
        <v/>
      </c>
      <c r="Z80" s="28">
        <f>IF($A80="",0,IF($C80="Portfolio",1,IF(AND($B80="Project",$C80&lt;&gt;"",$C80&lt;&gt;"Outside the portfolio"),IFERROR(IF(AND(INDEX($B$6:$B$305,MATCH($C80,$A$6:$A$305,0))="Program",INDEX($C$6:$C$305,MATCH($C80,$A$6:$A$305,0))="Portfolio"),1,0),0),0)))</f>
        <v/>
      </c>
      <c r="AA80" s="28">
        <f>IF(AND($A80&lt;&gt;"",$E80="",OR($Q80=1,$D80="Proposed")),1,0)</f>
        <v/>
      </c>
      <c r="AB80" s="28">
        <f>IF(AND($A80&lt;&gt;"",$B80="Program",$F80="",$Q80=1),1,0)</f>
        <v/>
      </c>
      <c r="AC80" s="28">
        <f>IF(OR($A80="",$D80="Completed",$D80="Terminated"),0,IF($C80="",1,IF($C80="Portfolio",0,IF($C80="Outside the portfolio",IF($Q80=1,2,0),IF($B80="Project",IF(IFERROR(INDEX($B$6:$B$305,MATCH($C80,$A$6:$A$305,0)),"")="Program",0,1),1)))))</f>
        <v/>
      </c>
      <c r="AD80" s="28">
        <f>IF(AND($A80&lt;&gt;"",OR($M80="■ Red",$M80="◧ Amber"),$L80=""),1,0)</f>
        <v/>
      </c>
      <c r="AE80" s="28">
        <f>$AA80+$AB80+IF($AC80&gt;0,1,0)+$AD80+$AG80+$AH80</f>
        <v/>
      </c>
      <c r="AF80" s="25" t="n"/>
      <c r="AG80" s="28">
        <f>IF(AND($A80&lt;&gt;"",$K80&lt;&gt;"",$C80&lt;&gt;"Portfolio",$D80&lt;&gt;"Completed",$D80&lt;&gt;"Terminated"),1,0)</f>
        <v/>
      </c>
      <c r="AH80" s="28">
        <f>IF(AND($A80&lt;&gt;"",COUNTIF($A$6:$A$305,$A80)&gt;1),1,0)</f>
        <v/>
      </c>
      <c r="AI80" s="28">
        <f>IF(AND($A80&lt;&gt;"",$C80="Portfolio"),COUNTIFS($C$6:$C80,"Portfolio",$A$6:$A80,"&lt;&gt;"),"")</f>
        <v/>
      </c>
    </row>
    <row r="81">
      <c r="A81" s="25" t="n"/>
      <c r="B81" s="25" t="n"/>
      <c r="C81" s="25" t="n"/>
      <c r="D81" s="25" t="n"/>
      <c r="E81" s="25" t="n"/>
      <c r="F81" s="25" t="n"/>
      <c r="G81" s="25" t="n"/>
      <c r="H81" s="26" t="n"/>
      <c r="I81" s="26" t="n"/>
      <c r="J81" s="27" t="n"/>
      <c r="K81" s="27" t="n"/>
      <c r="L81" s="23" t="n"/>
      <c r="M81" s="28">
        <f>IF($A81="","",IF($D81="","Not read",IF($Q81=0,"Not counted",IF(MAX($X81,$Y81)=3,"■ Red",IF(MAX($X81,$Y81)=2,"◧ Amber",IF(MAX($X81,$Y81)=1,"□ On track","Not read"))))))</f>
        <v/>
      </c>
      <c r="N81" s="28">
        <f>IF(OR($A81="",$B81&lt;&gt;"Program"),"","■ "&amp;COUNTIFS($C$6:$C$305,$A81,$M$6:$M$305,"■ Red")&amp;" Red, ◧ "&amp;COUNTIFS($C$6:$C$305,$A81,$M$6:$M$305,"◧ Amber")&amp;" Amber")</f>
        <v/>
      </c>
      <c r="O81" s="29">
        <f>IF(OR($A81="",$E81=""),"",COUNTIFS($E$6:$E$305,$E81,$D$6:$D$305,"Active")+COUNTIFS($E$6:$E$305,$E81,$D$6:$D$305,"Paused"))</f>
        <v/>
      </c>
      <c r="P81" s="28">
        <f>IF($A81="","",IF($AE81=0,"○ Clear",IF($AA81=1,"△ No owner",IF($AC81=1,"△ Check Sits under",IF($AC81=2,"△ Outside the portfolio",IF($AB81=1,"△ No sponsor",IF($AH81=1,"△ Name used twice",IF($AG81=1,"△ Budget only counts under Portfolio","△ No variance note"))))))&amp;IF($AE81&gt;1," (+"&amp;($AE81-1)&amp;" more)","")))</f>
        <v/>
      </c>
      <c r="Q81" s="28">
        <f>IF(AND($A81&lt;&gt;"",OR($D81="Active",$D81="Paused")),1,0)</f>
        <v/>
      </c>
      <c r="R81" s="28">
        <f>IFERROR(INDEX($A$6:$A$305,MATCH(74,$S$6:$S$305,0)),"")</f>
        <v/>
      </c>
      <c r="S81" s="28">
        <f>IF(AND($A81&lt;&gt;"",$B81="Program"),COUNTIFS($B$6:$B81,"Program",$A$6:$A81,"&lt;&gt;"),"")</f>
        <v/>
      </c>
      <c r="T81" s="30">
        <f>IF(AND($A81&lt;&gt;"",$B81="Program"),SUMPRODUCT(MAX(($C$6:$C$305=$A81)*($B$6:$B$305="Project")*($D$6:$D$305&lt;&gt;"Proposed")*$I$6:$I$305)),0)</f>
        <v/>
      </c>
      <c r="U81" s="30">
        <f>IF($I81&lt;&gt;"",$I81,IF($T81&gt;0,$T81,""))</f>
        <v/>
      </c>
      <c r="V81" s="28">
        <f>IF(AND($A81&lt;&gt;"",$B81="Program"),SUMIFS($J$6:$J$305,$C$6:$C$305,$A81,$B$6:$B$305,"Project",$D$6:$D$305,"&lt;&gt;Proposed"),0)</f>
        <v/>
      </c>
      <c r="W81" s="28">
        <f>IF(AND($A81&lt;&gt;"",$B81="Program"),COUNTIFS($C$6:$C$305,$A81,$B$6:$B$305,"Project",$D$6:$D$305,"&lt;&gt;Proposed")-COUNTIFS($C$6:$C$305,$A81,$B$6:$B$305,"Project",$D$6:$D$305,"&lt;&gt;Proposed",$J$6:$J$305,"&gt;=0"),0)</f>
        <v/>
      </c>
      <c r="X81" s="28">
        <f>IF(OR($Q81=0,$H81="",$AF81="Sprint"),0,IF(AND($B81="Project",$H81&lt;TODAY()),3,IF($U81="",0,IF($U81&lt;=$H81,1,IF(NETWORKDAYS($H81,$U81)-1&gt;IF($B81="Program",Checks!$B$7,Checks!$B$6),3,2)))))</f>
        <v/>
      </c>
      <c r="Y81" s="28">
        <f>IF(OR($Q81=0,$K81="",$K81=0,$AF81="Sprint"),0,IF(AND($B81="Project",$J81=""),0,IF(IF($B81="Program",$V81,$J81)&gt;$K81*(1+Checks!$B$8),3,IF(IF($B81="Program",$V81,$J81)&gt;$K81,2,IF(AND($B81="Program",OR($W81&gt;0,$V81=0)),0,1)))))</f>
        <v/>
      </c>
      <c r="Z81" s="28">
        <f>IF($A81="",0,IF($C81="Portfolio",1,IF(AND($B81="Project",$C81&lt;&gt;"",$C81&lt;&gt;"Outside the portfolio"),IFERROR(IF(AND(INDEX($B$6:$B$305,MATCH($C81,$A$6:$A$305,0))="Program",INDEX($C$6:$C$305,MATCH($C81,$A$6:$A$305,0))="Portfolio"),1,0),0),0)))</f>
        <v/>
      </c>
      <c r="AA81" s="28">
        <f>IF(AND($A81&lt;&gt;"",$E81="",OR($Q81=1,$D81="Proposed")),1,0)</f>
        <v/>
      </c>
      <c r="AB81" s="28">
        <f>IF(AND($A81&lt;&gt;"",$B81="Program",$F81="",$Q81=1),1,0)</f>
        <v/>
      </c>
      <c r="AC81" s="28">
        <f>IF(OR($A81="",$D81="Completed",$D81="Terminated"),0,IF($C81="",1,IF($C81="Portfolio",0,IF($C81="Outside the portfolio",IF($Q81=1,2,0),IF($B81="Project",IF(IFERROR(INDEX($B$6:$B$305,MATCH($C81,$A$6:$A$305,0)),"")="Program",0,1),1)))))</f>
        <v/>
      </c>
      <c r="AD81" s="28">
        <f>IF(AND($A81&lt;&gt;"",OR($M81="■ Red",$M81="◧ Amber"),$L81=""),1,0)</f>
        <v/>
      </c>
      <c r="AE81" s="28">
        <f>$AA81+$AB81+IF($AC81&gt;0,1,0)+$AD81+$AG81+$AH81</f>
        <v/>
      </c>
      <c r="AF81" s="25" t="n"/>
      <c r="AG81" s="28">
        <f>IF(AND($A81&lt;&gt;"",$K81&lt;&gt;"",$C81&lt;&gt;"Portfolio",$D81&lt;&gt;"Completed",$D81&lt;&gt;"Terminated"),1,0)</f>
        <v/>
      </c>
      <c r="AH81" s="28">
        <f>IF(AND($A81&lt;&gt;"",COUNTIF($A$6:$A$305,$A81)&gt;1),1,0)</f>
        <v/>
      </c>
      <c r="AI81" s="28">
        <f>IF(AND($A81&lt;&gt;"",$C81="Portfolio"),COUNTIFS($C$6:$C81,"Portfolio",$A$6:$A81,"&lt;&gt;"),"")</f>
        <v/>
      </c>
    </row>
    <row r="82">
      <c r="A82" s="25" t="n"/>
      <c r="B82" s="25" t="n"/>
      <c r="C82" s="25" t="n"/>
      <c r="D82" s="25" t="n"/>
      <c r="E82" s="25" t="n"/>
      <c r="F82" s="25" t="n"/>
      <c r="G82" s="25" t="n"/>
      <c r="H82" s="26" t="n"/>
      <c r="I82" s="26" t="n"/>
      <c r="J82" s="27" t="n"/>
      <c r="K82" s="27" t="n"/>
      <c r="L82" s="23" t="n"/>
      <c r="M82" s="28">
        <f>IF($A82="","",IF($D82="","Not read",IF($Q82=0,"Not counted",IF(MAX($X82,$Y82)=3,"■ Red",IF(MAX($X82,$Y82)=2,"◧ Amber",IF(MAX($X82,$Y82)=1,"□ On track","Not read"))))))</f>
        <v/>
      </c>
      <c r="N82" s="28">
        <f>IF(OR($A82="",$B82&lt;&gt;"Program"),"","■ "&amp;COUNTIFS($C$6:$C$305,$A82,$M$6:$M$305,"■ Red")&amp;" Red, ◧ "&amp;COUNTIFS($C$6:$C$305,$A82,$M$6:$M$305,"◧ Amber")&amp;" Amber")</f>
        <v/>
      </c>
      <c r="O82" s="29">
        <f>IF(OR($A82="",$E82=""),"",COUNTIFS($E$6:$E$305,$E82,$D$6:$D$305,"Active")+COUNTIFS($E$6:$E$305,$E82,$D$6:$D$305,"Paused"))</f>
        <v/>
      </c>
      <c r="P82" s="28">
        <f>IF($A82="","",IF($AE82=0,"○ Clear",IF($AA82=1,"△ No owner",IF($AC82=1,"△ Check Sits under",IF($AC82=2,"△ Outside the portfolio",IF($AB82=1,"△ No sponsor",IF($AH82=1,"△ Name used twice",IF($AG82=1,"△ Budget only counts under Portfolio","△ No variance note"))))))&amp;IF($AE82&gt;1," (+"&amp;($AE82-1)&amp;" more)","")))</f>
        <v/>
      </c>
      <c r="Q82" s="28">
        <f>IF(AND($A82&lt;&gt;"",OR($D82="Active",$D82="Paused")),1,0)</f>
        <v/>
      </c>
      <c r="R82" s="28">
        <f>IFERROR(INDEX($A$6:$A$305,MATCH(75,$S$6:$S$305,0)),"")</f>
        <v/>
      </c>
      <c r="S82" s="28">
        <f>IF(AND($A82&lt;&gt;"",$B82="Program"),COUNTIFS($B$6:$B82,"Program",$A$6:$A82,"&lt;&gt;"),"")</f>
        <v/>
      </c>
      <c r="T82" s="30">
        <f>IF(AND($A82&lt;&gt;"",$B82="Program"),SUMPRODUCT(MAX(($C$6:$C$305=$A82)*($B$6:$B$305="Project")*($D$6:$D$305&lt;&gt;"Proposed")*$I$6:$I$305)),0)</f>
        <v/>
      </c>
      <c r="U82" s="30">
        <f>IF($I82&lt;&gt;"",$I82,IF($T82&gt;0,$T82,""))</f>
        <v/>
      </c>
      <c r="V82" s="28">
        <f>IF(AND($A82&lt;&gt;"",$B82="Program"),SUMIFS($J$6:$J$305,$C$6:$C$305,$A82,$B$6:$B$305,"Project",$D$6:$D$305,"&lt;&gt;Proposed"),0)</f>
        <v/>
      </c>
      <c r="W82" s="28">
        <f>IF(AND($A82&lt;&gt;"",$B82="Program"),COUNTIFS($C$6:$C$305,$A82,$B$6:$B$305,"Project",$D$6:$D$305,"&lt;&gt;Proposed")-COUNTIFS($C$6:$C$305,$A82,$B$6:$B$305,"Project",$D$6:$D$305,"&lt;&gt;Proposed",$J$6:$J$305,"&gt;=0"),0)</f>
        <v/>
      </c>
      <c r="X82" s="28">
        <f>IF(OR($Q82=0,$H82="",$AF82="Sprint"),0,IF(AND($B82="Project",$H82&lt;TODAY()),3,IF($U82="",0,IF($U82&lt;=$H82,1,IF(NETWORKDAYS($H82,$U82)-1&gt;IF($B82="Program",Checks!$B$7,Checks!$B$6),3,2)))))</f>
        <v/>
      </c>
      <c r="Y82" s="28">
        <f>IF(OR($Q82=0,$K82="",$K82=0,$AF82="Sprint"),0,IF(AND($B82="Project",$J82=""),0,IF(IF($B82="Program",$V82,$J82)&gt;$K82*(1+Checks!$B$8),3,IF(IF($B82="Program",$V82,$J82)&gt;$K82,2,IF(AND($B82="Program",OR($W82&gt;0,$V82=0)),0,1)))))</f>
        <v/>
      </c>
      <c r="Z82" s="28">
        <f>IF($A82="",0,IF($C82="Portfolio",1,IF(AND($B82="Project",$C82&lt;&gt;"",$C82&lt;&gt;"Outside the portfolio"),IFERROR(IF(AND(INDEX($B$6:$B$305,MATCH($C82,$A$6:$A$305,0))="Program",INDEX($C$6:$C$305,MATCH($C82,$A$6:$A$305,0))="Portfolio"),1,0),0),0)))</f>
        <v/>
      </c>
      <c r="AA82" s="28">
        <f>IF(AND($A82&lt;&gt;"",$E82="",OR($Q82=1,$D82="Proposed")),1,0)</f>
        <v/>
      </c>
      <c r="AB82" s="28">
        <f>IF(AND($A82&lt;&gt;"",$B82="Program",$F82="",$Q82=1),1,0)</f>
        <v/>
      </c>
      <c r="AC82" s="28">
        <f>IF(OR($A82="",$D82="Completed",$D82="Terminated"),0,IF($C82="",1,IF($C82="Portfolio",0,IF($C82="Outside the portfolio",IF($Q82=1,2,0),IF($B82="Project",IF(IFERROR(INDEX($B$6:$B$305,MATCH($C82,$A$6:$A$305,0)),"")="Program",0,1),1)))))</f>
        <v/>
      </c>
      <c r="AD82" s="28">
        <f>IF(AND($A82&lt;&gt;"",OR($M82="■ Red",$M82="◧ Amber"),$L82=""),1,0)</f>
        <v/>
      </c>
      <c r="AE82" s="28">
        <f>$AA82+$AB82+IF($AC82&gt;0,1,0)+$AD82+$AG82+$AH82</f>
        <v/>
      </c>
      <c r="AF82" s="25" t="n"/>
      <c r="AG82" s="28">
        <f>IF(AND($A82&lt;&gt;"",$K82&lt;&gt;"",$C82&lt;&gt;"Portfolio",$D82&lt;&gt;"Completed",$D82&lt;&gt;"Terminated"),1,0)</f>
        <v/>
      </c>
      <c r="AH82" s="28">
        <f>IF(AND($A82&lt;&gt;"",COUNTIF($A$6:$A$305,$A82)&gt;1),1,0)</f>
        <v/>
      </c>
      <c r="AI82" s="28">
        <f>IF(AND($A82&lt;&gt;"",$C82="Portfolio"),COUNTIFS($C$6:$C82,"Portfolio",$A$6:$A82,"&lt;&gt;"),"")</f>
        <v/>
      </c>
    </row>
    <row r="83">
      <c r="A83" s="25" t="n"/>
      <c r="B83" s="25" t="n"/>
      <c r="C83" s="25" t="n"/>
      <c r="D83" s="25" t="n"/>
      <c r="E83" s="25" t="n"/>
      <c r="F83" s="25" t="n"/>
      <c r="G83" s="25" t="n"/>
      <c r="H83" s="26" t="n"/>
      <c r="I83" s="26" t="n"/>
      <c r="J83" s="27" t="n"/>
      <c r="K83" s="27" t="n"/>
      <c r="L83" s="23" t="n"/>
      <c r="M83" s="28">
        <f>IF($A83="","",IF($D83="","Not read",IF($Q83=0,"Not counted",IF(MAX($X83,$Y83)=3,"■ Red",IF(MAX($X83,$Y83)=2,"◧ Amber",IF(MAX($X83,$Y83)=1,"□ On track","Not read"))))))</f>
        <v/>
      </c>
      <c r="N83" s="28">
        <f>IF(OR($A83="",$B83&lt;&gt;"Program"),"","■ "&amp;COUNTIFS($C$6:$C$305,$A83,$M$6:$M$305,"■ Red")&amp;" Red, ◧ "&amp;COUNTIFS($C$6:$C$305,$A83,$M$6:$M$305,"◧ Amber")&amp;" Amber")</f>
        <v/>
      </c>
      <c r="O83" s="29">
        <f>IF(OR($A83="",$E83=""),"",COUNTIFS($E$6:$E$305,$E83,$D$6:$D$305,"Active")+COUNTIFS($E$6:$E$305,$E83,$D$6:$D$305,"Paused"))</f>
        <v/>
      </c>
      <c r="P83" s="28">
        <f>IF($A83="","",IF($AE83=0,"○ Clear",IF($AA83=1,"△ No owner",IF($AC83=1,"△ Check Sits under",IF($AC83=2,"△ Outside the portfolio",IF($AB83=1,"△ No sponsor",IF($AH83=1,"△ Name used twice",IF($AG83=1,"△ Budget only counts under Portfolio","△ No variance note"))))))&amp;IF($AE83&gt;1," (+"&amp;($AE83-1)&amp;" more)","")))</f>
        <v/>
      </c>
      <c r="Q83" s="28">
        <f>IF(AND($A83&lt;&gt;"",OR($D83="Active",$D83="Paused")),1,0)</f>
        <v/>
      </c>
      <c r="R83" s="28">
        <f>IFERROR(INDEX($A$6:$A$305,MATCH(76,$S$6:$S$305,0)),"")</f>
        <v/>
      </c>
      <c r="S83" s="28">
        <f>IF(AND($A83&lt;&gt;"",$B83="Program"),COUNTIFS($B$6:$B83,"Program",$A$6:$A83,"&lt;&gt;"),"")</f>
        <v/>
      </c>
      <c r="T83" s="30">
        <f>IF(AND($A83&lt;&gt;"",$B83="Program"),SUMPRODUCT(MAX(($C$6:$C$305=$A83)*($B$6:$B$305="Project")*($D$6:$D$305&lt;&gt;"Proposed")*$I$6:$I$305)),0)</f>
        <v/>
      </c>
      <c r="U83" s="30">
        <f>IF($I83&lt;&gt;"",$I83,IF($T83&gt;0,$T83,""))</f>
        <v/>
      </c>
      <c r="V83" s="28">
        <f>IF(AND($A83&lt;&gt;"",$B83="Program"),SUMIFS($J$6:$J$305,$C$6:$C$305,$A83,$B$6:$B$305,"Project",$D$6:$D$305,"&lt;&gt;Proposed"),0)</f>
        <v/>
      </c>
      <c r="W83" s="28">
        <f>IF(AND($A83&lt;&gt;"",$B83="Program"),COUNTIFS($C$6:$C$305,$A83,$B$6:$B$305,"Project",$D$6:$D$305,"&lt;&gt;Proposed")-COUNTIFS($C$6:$C$305,$A83,$B$6:$B$305,"Project",$D$6:$D$305,"&lt;&gt;Proposed",$J$6:$J$305,"&gt;=0"),0)</f>
        <v/>
      </c>
      <c r="X83" s="28">
        <f>IF(OR($Q83=0,$H83="",$AF83="Sprint"),0,IF(AND($B83="Project",$H83&lt;TODAY()),3,IF($U83="",0,IF($U83&lt;=$H83,1,IF(NETWORKDAYS($H83,$U83)-1&gt;IF($B83="Program",Checks!$B$7,Checks!$B$6),3,2)))))</f>
        <v/>
      </c>
      <c r="Y83" s="28">
        <f>IF(OR($Q83=0,$K83="",$K83=0,$AF83="Sprint"),0,IF(AND($B83="Project",$J83=""),0,IF(IF($B83="Program",$V83,$J83)&gt;$K83*(1+Checks!$B$8),3,IF(IF($B83="Program",$V83,$J83)&gt;$K83,2,IF(AND($B83="Program",OR($W83&gt;0,$V83=0)),0,1)))))</f>
        <v/>
      </c>
      <c r="Z83" s="28">
        <f>IF($A83="",0,IF($C83="Portfolio",1,IF(AND($B83="Project",$C83&lt;&gt;"",$C83&lt;&gt;"Outside the portfolio"),IFERROR(IF(AND(INDEX($B$6:$B$305,MATCH($C83,$A$6:$A$305,0))="Program",INDEX($C$6:$C$305,MATCH($C83,$A$6:$A$305,0))="Portfolio"),1,0),0),0)))</f>
        <v/>
      </c>
      <c r="AA83" s="28">
        <f>IF(AND($A83&lt;&gt;"",$E83="",OR($Q83=1,$D83="Proposed")),1,0)</f>
        <v/>
      </c>
      <c r="AB83" s="28">
        <f>IF(AND($A83&lt;&gt;"",$B83="Program",$F83="",$Q83=1),1,0)</f>
        <v/>
      </c>
      <c r="AC83" s="28">
        <f>IF(OR($A83="",$D83="Completed",$D83="Terminated"),0,IF($C83="",1,IF($C83="Portfolio",0,IF($C83="Outside the portfolio",IF($Q83=1,2,0),IF($B83="Project",IF(IFERROR(INDEX($B$6:$B$305,MATCH($C83,$A$6:$A$305,0)),"")="Program",0,1),1)))))</f>
        <v/>
      </c>
      <c r="AD83" s="28">
        <f>IF(AND($A83&lt;&gt;"",OR($M83="■ Red",$M83="◧ Amber"),$L83=""),1,0)</f>
        <v/>
      </c>
      <c r="AE83" s="28">
        <f>$AA83+$AB83+IF($AC83&gt;0,1,0)+$AD83+$AG83+$AH83</f>
        <v/>
      </c>
      <c r="AF83" s="25" t="n"/>
      <c r="AG83" s="28">
        <f>IF(AND($A83&lt;&gt;"",$K83&lt;&gt;"",$C83&lt;&gt;"Portfolio",$D83&lt;&gt;"Completed",$D83&lt;&gt;"Terminated"),1,0)</f>
        <v/>
      </c>
      <c r="AH83" s="28">
        <f>IF(AND($A83&lt;&gt;"",COUNTIF($A$6:$A$305,$A83)&gt;1),1,0)</f>
        <v/>
      </c>
      <c r="AI83" s="28">
        <f>IF(AND($A83&lt;&gt;"",$C83="Portfolio"),COUNTIFS($C$6:$C83,"Portfolio",$A$6:$A83,"&lt;&gt;"),"")</f>
        <v/>
      </c>
    </row>
    <row r="84">
      <c r="A84" s="25" t="n"/>
      <c r="B84" s="25" t="n"/>
      <c r="C84" s="25" t="n"/>
      <c r="D84" s="25" t="n"/>
      <c r="E84" s="25" t="n"/>
      <c r="F84" s="25" t="n"/>
      <c r="G84" s="25" t="n"/>
      <c r="H84" s="26" t="n"/>
      <c r="I84" s="26" t="n"/>
      <c r="J84" s="27" t="n"/>
      <c r="K84" s="27" t="n"/>
      <c r="L84" s="23" t="n"/>
      <c r="M84" s="28">
        <f>IF($A84="","",IF($D84="","Not read",IF($Q84=0,"Not counted",IF(MAX($X84,$Y84)=3,"■ Red",IF(MAX($X84,$Y84)=2,"◧ Amber",IF(MAX($X84,$Y84)=1,"□ On track","Not read"))))))</f>
        <v/>
      </c>
      <c r="N84" s="28">
        <f>IF(OR($A84="",$B84&lt;&gt;"Program"),"","■ "&amp;COUNTIFS($C$6:$C$305,$A84,$M$6:$M$305,"■ Red")&amp;" Red, ◧ "&amp;COUNTIFS($C$6:$C$305,$A84,$M$6:$M$305,"◧ Amber")&amp;" Amber")</f>
        <v/>
      </c>
      <c r="O84" s="29">
        <f>IF(OR($A84="",$E84=""),"",COUNTIFS($E$6:$E$305,$E84,$D$6:$D$305,"Active")+COUNTIFS($E$6:$E$305,$E84,$D$6:$D$305,"Paused"))</f>
        <v/>
      </c>
      <c r="P84" s="28">
        <f>IF($A84="","",IF($AE84=0,"○ Clear",IF($AA84=1,"△ No owner",IF($AC84=1,"△ Check Sits under",IF($AC84=2,"△ Outside the portfolio",IF($AB84=1,"△ No sponsor",IF($AH84=1,"△ Name used twice",IF($AG84=1,"△ Budget only counts under Portfolio","△ No variance note"))))))&amp;IF($AE84&gt;1," (+"&amp;($AE84-1)&amp;" more)","")))</f>
        <v/>
      </c>
      <c r="Q84" s="28">
        <f>IF(AND($A84&lt;&gt;"",OR($D84="Active",$D84="Paused")),1,0)</f>
        <v/>
      </c>
      <c r="R84" s="28">
        <f>IFERROR(INDEX($A$6:$A$305,MATCH(77,$S$6:$S$305,0)),"")</f>
        <v/>
      </c>
      <c r="S84" s="28">
        <f>IF(AND($A84&lt;&gt;"",$B84="Program"),COUNTIFS($B$6:$B84,"Program",$A$6:$A84,"&lt;&gt;"),"")</f>
        <v/>
      </c>
      <c r="T84" s="30">
        <f>IF(AND($A84&lt;&gt;"",$B84="Program"),SUMPRODUCT(MAX(($C$6:$C$305=$A84)*($B$6:$B$305="Project")*($D$6:$D$305&lt;&gt;"Proposed")*$I$6:$I$305)),0)</f>
        <v/>
      </c>
      <c r="U84" s="30">
        <f>IF($I84&lt;&gt;"",$I84,IF($T84&gt;0,$T84,""))</f>
        <v/>
      </c>
      <c r="V84" s="28">
        <f>IF(AND($A84&lt;&gt;"",$B84="Program"),SUMIFS($J$6:$J$305,$C$6:$C$305,$A84,$B$6:$B$305,"Project",$D$6:$D$305,"&lt;&gt;Proposed"),0)</f>
        <v/>
      </c>
      <c r="W84" s="28">
        <f>IF(AND($A84&lt;&gt;"",$B84="Program"),COUNTIFS($C$6:$C$305,$A84,$B$6:$B$305,"Project",$D$6:$D$305,"&lt;&gt;Proposed")-COUNTIFS($C$6:$C$305,$A84,$B$6:$B$305,"Project",$D$6:$D$305,"&lt;&gt;Proposed",$J$6:$J$305,"&gt;=0"),0)</f>
        <v/>
      </c>
      <c r="X84" s="28">
        <f>IF(OR($Q84=0,$H84="",$AF84="Sprint"),0,IF(AND($B84="Project",$H84&lt;TODAY()),3,IF($U84="",0,IF($U84&lt;=$H84,1,IF(NETWORKDAYS($H84,$U84)-1&gt;IF($B84="Program",Checks!$B$7,Checks!$B$6),3,2)))))</f>
        <v/>
      </c>
      <c r="Y84" s="28">
        <f>IF(OR($Q84=0,$K84="",$K84=0,$AF84="Sprint"),0,IF(AND($B84="Project",$J84=""),0,IF(IF($B84="Program",$V84,$J84)&gt;$K84*(1+Checks!$B$8),3,IF(IF($B84="Program",$V84,$J84)&gt;$K84,2,IF(AND($B84="Program",OR($W84&gt;0,$V84=0)),0,1)))))</f>
        <v/>
      </c>
      <c r="Z84" s="28">
        <f>IF($A84="",0,IF($C84="Portfolio",1,IF(AND($B84="Project",$C84&lt;&gt;"",$C84&lt;&gt;"Outside the portfolio"),IFERROR(IF(AND(INDEX($B$6:$B$305,MATCH($C84,$A$6:$A$305,0))="Program",INDEX($C$6:$C$305,MATCH($C84,$A$6:$A$305,0))="Portfolio"),1,0),0),0)))</f>
        <v/>
      </c>
      <c r="AA84" s="28">
        <f>IF(AND($A84&lt;&gt;"",$E84="",OR($Q84=1,$D84="Proposed")),1,0)</f>
        <v/>
      </c>
      <c r="AB84" s="28">
        <f>IF(AND($A84&lt;&gt;"",$B84="Program",$F84="",$Q84=1),1,0)</f>
        <v/>
      </c>
      <c r="AC84" s="28">
        <f>IF(OR($A84="",$D84="Completed",$D84="Terminated"),0,IF($C84="",1,IF($C84="Portfolio",0,IF($C84="Outside the portfolio",IF($Q84=1,2,0),IF($B84="Project",IF(IFERROR(INDEX($B$6:$B$305,MATCH($C84,$A$6:$A$305,0)),"")="Program",0,1),1)))))</f>
        <v/>
      </c>
      <c r="AD84" s="28">
        <f>IF(AND($A84&lt;&gt;"",OR($M84="■ Red",$M84="◧ Amber"),$L84=""),1,0)</f>
        <v/>
      </c>
      <c r="AE84" s="28">
        <f>$AA84+$AB84+IF($AC84&gt;0,1,0)+$AD84+$AG84+$AH84</f>
        <v/>
      </c>
      <c r="AF84" s="25" t="n"/>
      <c r="AG84" s="28">
        <f>IF(AND($A84&lt;&gt;"",$K84&lt;&gt;"",$C84&lt;&gt;"Portfolio",$D84&lt;&gt;"Completed",$D84&lt;&gt;"Terminated"),1,0)</f>
        <v/>
      </c>
      <c r="AH84" s="28">
        <f>IF(AND($A84&lt;&gt;"",COUNTIF($A$6:$A$305,$A84)&gt;1),1,0)</f>
        <v/>
      </c>
      <c r="AI84" s="28">
        <f>IF(AND($A84&lt;&gt;"",$C84="Portfolio"),COUNTIFS($C$6:$C84,"Portfolio",$A$6:$A84,"&lt;&gt;"),"")</f>
        <v/>
      </c>
    </row>
    <row r="85">
      <c r="A85" s="25" t="n"/>
      <c r="B85" s="25" t="n"/>
      <c r="C85" s="25" t="n"/>
      <c r="D85" s="25" t="n"/>
      <c r="E85" s="25" t="n"/>
      <c r="F85" s="25" t="n"/>
      <c r="G85" s="25" t="n"/>
      <c r="H85" s="26" t="n"/>
      <c r="I85" s="26" t="n"/>
      <c r="J85" s="27" t="n"/>
      <c r="K85" s="27" t="n"/>
      <c r="L85" s="23" t="n"/>
      <c r="M85" s="28">
        <f>IF($A85="","",IF($D85="","Not read",IF($Q85=0,"Not counted",IF(MAX($X85,$Y85)=3,"■ Red",IF(MAX($X85,$Y85)=2,"◧ Amber",IF(MAX($X85,$Y85)=1,"□ On track","Not read"))))))</f>
        <v/>
      </c>
      <c r="N85" s="28">
        <f>IF(OR($A85="",$B85&lt;&gt;"Program"),"","■ "&amp;COUNTIFS($C$6:$C$305,$A85,$M$6:$M$305,"■ Red")&amp;" Red, ◧ "&amp;COUNTIFS($C$6:$C$305,$A85,$M$6:$M$305,"◧ Amber")&amp;" Amber")</f>
        <v/>
      </c>
      <c r="O85" s="29">
        <f>IF(OR($A85="",$E85=""),"",COUNTIFS($E$6:$E$305,$E85,$D$6:$D$305,"Active")+COUNTIFS($E$6:$E$305,$E85,$D$6:$D$305,"Paused"))</f>
        <v/>
      </c>
      <c r="P85" s="28">
        <f>IF($A85="","",IF($AE85=0,"○ Clear",IF($AA85=1,"△ No owner",IF($AC85=1,"△ Check Sits under",IF($AC85=2,"△ Outside the portfolio",IF($AB85=1,"△ No sponsor",IF($AH85=1,"△ Name used twice",IF($AG85=1,"△ Budget only counts under Portfolio","△ No variance note"))))))&amp;IF($AE85&gt;1," (+"&amp;($AE85-1)&amp;" more)","")))</f>
        <v/>
      </c>
      <c r="Q85" s="28">
        <f>IF(AND($A85&lt;&gt;"",OR($D85="Active",$D85="Paused")),1,0)</f>
        <v/>
      </c>
      <c r="R85" s="28">
        <f>IFERROR(INDEX($A$6:$A$305,MATCH(78,$S$6:$S$305,0)),"")</f>
        <v/>
      </c>
      <c r="S85" s="28">
        <f>IF(AND($A85&lt;&gt;"",$B85="Program"),COUNTIFS($B$6:$B85,"Program",$A$6:$A85,"&lt;&gt;"),"")</f>
        <v/>
      </c>
      <c r="T85" s="30">
        <f>IF(AND($A85&lt;&gt;"",$B85="Program"),SUMPRODUCT(MAX(($C$6:$C$305=$A85)*($B$6:$B$305="Project")*($D$6:$D$305&lt;&gt;"Proposed")*$I$6:$I$305)),0)</f>
        <v/>
      </c>
      <c r="U85" s="30">
        <f>IF($I85&lt;&gt;"",$I85,IF($T85&gt;0,$T85,""))</f>
        <v/>
      </c>
      <c r="V85" s="28">
        <f>IF(AND($A85&lt;&gt;"",$B85="Program"),SUMIFS($J$6:$J$305,$C$6:$C$305,$A85,$B$6:$B$305,"Project",$D$6:$D$305,"&lt;&gt;Proposed"),0)</f>
        <v/>
      </c>
      <c r="W85" s="28">
        <f>IF(AND($A85&lt;&gt;"",$B85="Program"),COUNTIFS($C$6:$C$305,$A85,$B$6:$B$305,"Project",$D$6:$D$305,"&lt;&gt;Proposed")-COUNTIFS($C$6:$C$305,$A85,$B$6:$B$305,"Project",$D$6:$D$305,"&lt;&gt;Proposed",$J$6:$J$305,"&gt;=0"),0)</f>
        <v/>
      </c>
      <c r="X85" s="28">
        <f>IF(OR($Q85=0,$H85="",$AF85="Sprint"),0,IF(AND($B85="Project",$H85&lt;TODAY()),3,IF($U85="",0,IF($U85&lt;=$H85,1,IF(NETWORKDAYS($H85,$U85)-1&gt;IF($B85="Program",Checks!$B$7,Checks!$B$6),3,2)))))</f>
        <v/>
      </c>
      <c r="Y85" s="28">
        <f>IF(OR($Q85=0,$K85="",$K85=0,$AF85="Sprint"),0,IF(AND($B85="Project",$J85=""),0,IF(IF($B85="Program",$V85,$J85)&gt;$K85*(1+Checks!$B$8),3,IF(IF($B85="Program",$V85,$J85)&gt;$K85,2,IF(AND($B85="Program",OR($W85&gt;0,$V85=0)),0,1)))))</f>
        <v/>
      </c>
      <c r="Z85" s="28">
        <f>IF($A85="",0,IF($C85="Portfolio",1,IF(AND($B85="Project",$C85&lt;&gt;"",$C85&lt;&gt;"Outside the portfolio"),IFERROR(IF(AND(INDEX($B$6:$B$305,MATCH($C85,$A$6:$A$305,0))="Program",INDEX($C$6:$C$305,MATCH($C85,$A$6:$A$305,0))="Portfolio"),1,0),0),0)))</f>
        <v/>
      </c>
      <c r="AA85" s="28">
        <f>IF(AND($A85&lt;&gt;"",$E85="",OR($Q85=1,$D85="Proposed")),1,0)</f>
        <v/>
      </c>
      <c r="AB85" s="28">
        <f>IF(AND($A85&lt;&gt;"",$B85="Program",$F85="",$Q85=1),1,0)</f>
        <v/>
      </c>
      <c r="AC85" s="28">
        <f>IF(OR($A85="",$D85="Completed",$D85="Terminated"),0,IF($C85="",1,IF($C85="Portfolio",0,IF($C85="Outside the portfolio",IF($Q85=1,2,0),IF($B85="Project",IF(IFERROR(INDEX($B$6:$B$305,MATCH($C85,$A$6:$A$305,0)),"")="Program",0,1),1)))))</f>
        <v/>
      </c>
      <c r="AD85" s="28">
        <f>IF(AND($A85&lt;&gt;"",OR($M85="■ Red",$M85="◧ Amber"),$L85=""),1,0)</f>
        <v/>
      </c>
      <c r="AE85" s="28">
        <f>$AA85+$AB85+IF($AC85&gt;0,1,0)+$AD85+$AG85+$AH85</f>
        <v/>
      </c>
      <c r="AF85" s="25" t="n"/>
      <c r="AG85" s="28">
        <f>IF(AND($A85&lt;&gt;"",$K85&lt;&gt;"",$C85&lt;&gt;"Portfolio",$D85&lt;&gt;"Completed",$D85&lt;&gt;"Terminated"),1,0)</f>
        <v/>
      </c>
      <c r="AH85" s="28">
        <f>IF(AND($A85&lt;&gt;"",COUNTIF($A$6:$A$305,$A85)&gt;1),1,0)</f>
        <v/>
      </c>
      <c r="AI85" s="28">
        <f>IF(AND($A85&lt;&gt;"",$C85="Portfolio"),COUNTIFS($C$6:$C85,"Portfolio",$A$6:$A85,"&lt;&gt;"),"")</f>
        <v/>
      </c>
    </row>
    <row r="86">
      <c r="A86" s="25" t="n"/>
      <c r="B86" s="25" t="n"/>
      <c r="C86" s="25" t="n"/>
      <c r="D86" s="25" t="n"/>
      <c r="E86" s="25" t="n"/>
      <c r="F86" s="25" t="n"/>
      <c r="G86" s="25" t="n"/>
      <c r="H86" s="26" t="n"/>
      <c r="I86" s="26" t="n"/>
      <c r="J86" s="27" t="n"/>
      <c r="K86" s="27" t="n"/>
      <c r="L86" s="23" t="n"/>
      <c r="M86" s="28">
        <f>IF($A86="","",IF($D86="","Not read",IF($Q86=0,"Not counted",IF(MAX($X86,$Y86)=3,"■ Red",IF(MAX($X86,$Y86)=2,"◧ Amber",IF(MAX($X86,$Y86)=1,"□ On track","Not read"))))))</f>
        <v/>
      </c>
      <c r="N86" s="28">
        <f>IF(OR($A86="",$B86&lt;&gt;"Program"),"","■ "&amp;COUNTIFS($C$6:$C$305,$A86,$M$6:$M$305,"■ Red")&amp;" Red, ◧ "&amp;COUNTIFS($C$6:$C$305,$A86,$M$6:$M$305,"◧ Amber")&amp;" Amber")</f>
        <v/>
      </c>
      <c r="O86" s="29">
        <f>IF(OR($A86="",$E86=""),"",COUNTIFS($E$6:$E$305,$E86,$D$6:$D$305,"Active")+COUNTIFS($E$6:$E$305,$E86,$D$6:$D$305,"Paused"))</f>
        <v/>
      </c>
      <c r="P86" s="28">
        <f>IF($A86="","",IF($AE86=0,"○ Clear",IF($AA86=1,"△ No owner",IF($AC86=1,"△ Check Sits under",IF($AC86=2,"△ Outside the portfolio",IF($AB86=1,"△ No sponsor",IF($AH86=1,"△ Name used twice",IF($AG86=1,"△ Budget only counts under Portfolio","△ No variance note"))))))&amp;IF($AE86&gt;1," (+"&amp;($AE86-1)&amp;" more)","")))</f>
        <v/>
      </c>
      <c r="Q86" s="28">
        <f>IF(AND($A86&lt;&gt;"",OR($D86="Active",$D86="Paused")),1,0)</f>
        <v/>
      </c>
      <c r="R86" s="28">
        <f>IFERROR(INDEX($A$6:$A$305,MATCH(79,$S$6:$S$305,0)),"")</f>
        <v/>
      </c>
      <c r="S86" s="28">
        <f>IF(AND($A86&lt;&gt;"",$B86="Program"),COUNTIFS($B$6:$B86,"Program",$A$6:$A86,"&lt;&gt;"),"")</f>
        <v/>
      </c>
      <c r="T86" s="30">
        <f>IF(AND($A86&lt;&gt;"",$B86="Program"),SUMPRODUCT(MAX(($C$6:$C$305=$A86)*($B$6:$B$305="Project")*($D$6:$D$305&lt;&gt;"Proposed")*$I$6:$I$305)),0)</f>
        <v/>
      </c>
      <c r="U86" s="30">
        <f>IF($I86&lt;&gt;"",$I86,IF($T86&gt;0,$T86,""))</f>
        <v/>
      </c>
      <c r="V86" s="28">
        <f>IF(AND($A86&lt;&gt;"",$B86="Program"),SUMIFS($J$6:$J$305,$C$6:$C$305,$A86,$B$6:$B$305,"Project",$D$6:$D$305,"&lt;&gt;Proposed"),0)</f>
        <v/>
      </c>
      <c r="W86" s="28">
        <f>IF(AND($A86&lt;&gt;"",$B86="Program"),COUNTIFS($C$6:$C$305,$A86,$B$6:$B$305,"Project",$D$6:$D$305,"&lt;&gt;Proposed")-COUNTIFS($C$6:$C$305,$A86,$B$6:$B$305,"Project",$D$6:$D$305,"&lt;&gt;Proposed",$J$6:$J$305,"&gt;=0"),0)</f>
        <v/>
      </c>
      <c r="X86" s="28">
        <f>IF(OR($Q86=0,$H86="",$AF86="Sprint"),0,IF(AND($B86="Project",$H86&lt;TODAY()),3,IF($U86="",0,IF($U86&lt;=$H86,1,IF(NETWORKDAYS($H86,$U86)-1&gt;IF($B86="Program",Checks!$B$7,Checks!$B$6),3,2)))))</f>
        <v/>
      </c>
      <c r="Y86" s="28">
        <f>IF(OR($Q86=0,$K86="",$K86=0,$AF86="Sprint"),0,IF(AND($B86="Project",$J86=""),0,IF(IF($B86="Program",$V86,$J86)&gt;$K86*(1+Checks!$B$8),3,IF(IF($B86="Program",$V86,$J86)&gt;$K86,2,IF(AND($B86="Program",OR($W86&gt;0,$V86=0)),0,1)))))</f>
        <v/>
      </c>
      <c r="Z86" s="28">
        <f>IF($A86="",0,IF($C86="Portfolio",1,IF(AND($B86="Project",$C86&lt;&gt;"",$C86&lt;&gt;"Outside the portfolio"),IFERROR(IF(AND(INDEX($B$6:$B$305,MATCH($C86,$A$6:$A$305,0))="Program",INDEX($C$6:$C$305,MATCH($C86,$A$6:$A$305,0))="Portfolio"),1,0),0),0)))</f>
        <v/>
      </c>
      <c r="AA86" s="28">
        <f>IF(AND($A86&lt;&gt;"",$E86="",OR($Q86=1,$D86="Proposed")),1,0)</f>
        <v/>
      </c>
      <c r="AB86" s="28">
        <f>IF(AND($A86&lt;&gt;"",$B86="Program",$F86="",$Q86=1),1,0)</f>
        <v/>
      </c>
      <c r="AC86" s="28">
        <f>IF(OR($A86="",$D86="Completed",$D86="Terminated"),0,IF($C86="",1,IF($C86="Portfolio",0,IF($C86="Outside the portfolio",IF($Q86=1,2,0),IF($B86="Project",IF(IFERROR(INDEX($B$6:$B$305,MATCH($C86,$A$6:$A$305,0)),"")="Program",0,1),1)))))</f>
        <v/>
      </c>
      <c r="AD86" s="28">
        <f>IF(AND($A86&lt;&gt;"",OR($M86="■ Red",$M86="◧ Amber"),$L86=""),1,0)</f>
        <v/>
      </c>
      <c r="AE86" s="28">
        <f>$AA86+$AB86+IF($AC86&gt;0,1,0)+$AD86+$AG86+$AH86</f>
        <v/>
      </c>
      <c r="AF86" s="25" t="n"/>
      <c r="AG86" s="28">
        <f>IF(AND($A86&lt;&gt;"",$K86&lt;&gt;"",$C86&lt;&gt;"Portfolio",$D86&lt;&gt;"Completed",$D86&lt;&gt;"Terminated"),1,0)</f>
        <v/>
      </c>
      <c r="AH86" s="28">
        <f>IF(AND($A86&lt;&gt;"",COUNTIF($A$6:$A$305,$A86)&gt;1),1,0)</f>
        <v/>
      </c>
      <c r="AI86" s="28">
        <f>IF(AND($A86&lt;&gt;"",$C86="Portfolio"),COUNTIFS($C$6:$C86,"Portfolio",$A$6:$A86,"&lt;&gt;"),"")</f>
        <v/>
      </c>
    </row>
    <row r="87">
      <c r="A87" s="25" t="n"/>
      <c r="B87" s="25" t="n"/>
      <c r="C87" s="25" t="n"/>
      <c r="D87" s="25" t="n"/>
      <c r="E87" s="25" t="n"/>
      <c r="F87" s="25" t="n"/>
      <c r="G87" s="25" t="n"/>
      <c r="H87" s="26" t="n"/>
      <c r="I87" s="26" t="n"/>
      <c r="J87" s="27" t="n"/>
      <c r="K87" s="27" t="n"/>
      <c r="L87" s="23" t="n"/>
      <c r="M87" s="28">
        <f>IF($A87="","",IF($D87="","Not read",IF($Q87=0,"Not counted",IF(MAX($X87,$Y87)=3,"■ Red",IF(MAX($X87,$Y87)=2,"◧ Amber",IF(MAX($X87,$Y87)=1,"□ On track","Not read"))))))</f>
        <v/>
      </c>
      <c r="N87" s="28">
        <f>IF(OR($A87="",$B87&lt;&gt;"Program"),"","■ "&amp;COUNTIFS($C$6:$C$305,$A87,$M$6:$M$305,"■ Red")&amp;" Red, ◧ "&amp;COUNTIFS($C$6:$C$305,$A87,$M$6:$M$305,"◧ Amber")&amp;" Amber")</f>
        <v/>
      </c>
      <c r="O87" s="29">
        <f>IF(OR($A87="",$E87=""),"",COUNTIFS($E$6:$E$305,$E87,$D$6:$D$305,"Active")+COUNTIFS($E$6:$E$305,$E87,$D$6:$D$305,"Paused"))</f>
        <v/>
      </c>
      <c r="P87" s="28">
        <f>IF($A87="","",IF($AE87=0,"○ Clear",IF($AA87=1,"△ No owner",IF($AC87=1,"△ Check Sits under",IF($AC87=2,"△ Outside the portfolio",IF($AB87=1,"△ No sponsor",IF($AH87=1,"△ Name used twice",IF($AG87=1,"△ Budget only counts under Portfolio","△ No variance note"))))))&amp;IF($AE87&gt;1," (+"&amp;($AE87-1)&amp;" more)","")))</f>
        <v/>
      </c>
      <c r="Q87" s="28">
        <f>IF(AND($A87&lt;&gt;"",OR($D87="Active",$D87="Paused")),1,0)</f>
        <v/>
      </c>
      <c r="R87" s="28">
        <f>IFERROR(INDEX($A$6:$A$305,MATCH(80,$S$6:$S$305,0)),"")</f>
        <v/>
      </c>
      <c r="S87" s="28">
        <f>IF(AND($A87&lt;&gt;"",$B87="Program"),COUNTIFS($B$6:$B87,"Program",$A$6:$A87,"&lt;&gt;"),"")</f>
        <v/>
      </c>
      <c r="T87" s="30">
        <f>IF(AND($A87&lt;&gt;"",$B87="Program"),SUMPRODUCT(MAX(($C$6:$C$305=$A87)*($B$6:$B$305="Project")*($D$6:$D$305&lt;&gt;"Proposed")*$I$6:$I$305)),0)</f>
        <v/>
      </c>
      <c r="U87" s="30">
        <f>IF($I87&lt;&gt;"",$I87,IF($T87&gt;0,$T87,""))</f>
        <v/>
      </c>
      <c r="V87" s="28">
        <f>IF(AND($A87&lt;&gt;"",$B87="Program"),SUMIFS($J$6:$J$305,$C$6:$C$305,$A87,$B$6:$B$305,"Project",$D$6:$D$305,"&lt;&gt;Proposed"),0)</f>
        <v/>
      </c>
      <c r="W87" s="28">
        <f>IF(AND($A87&lt;&gt;"",$B87="Program"),COUNTIFS($C$6:$C$305,$A87,$B$6:$B$305,"Project",$D$6:$D$305,"&lt;&gt;Proposed")-COUNTIFS($C$6:$C$305,$A87,$B$6:$B$305,"Project",$D$6:$D$305,"&lt;&gt;Proposed",$J$6:$J$305,"&gt;=0"),0)</f>
        <v/>
      </c>
      <c r="X87" s="28">
        <f>IF(OR($Q87=0,$H87="",$AF87="Sprint"),0,IF(AND($B87="Project",$H87&lt;TODAY()),3,IF($U87="",0,IF($U87&lt;=$H87,1,IF(NETWORKDAYS($H87,$U87)-1&gt;IF($B87="Program",Checks!$B$7,Checks!$B$6),3,2)))))</f>
        <v/>
      </c>
      <c r="Y87" s="28">
        <f>IF(OR($Q87=0,$K87="",$K87=0,$AF87="Sprint"),0,IF(AND($B87="Project",$J87=""),0,IF(IF($B87="Program",$V87,$J87)&gt;$K87*(1+Checks!$B$8),3,IF(IF($B87="Program",$V87,$J87)&gt;$K87,2,IF(AND($B87="Program",OR($W87&gt;0,$V87=0)),0,1)))))</f>
        <v/>
      </c>
      <c r="Z87" s="28">
        <f>IF($A87="",0,IF($C87="Portfolio",1,IF(AND($B87="Project",$C87&lt;&gt;"",$C87&lt;&gt;"Outside the portfolio"),IFERROR(IF(AND(INDEX($B$6:$B$305,MATCH($C87,$A$6:$A$305,0))="Program",INDEX($C$6:$C$305,MATCH($C87,$A$6:$A$305,0))="Portfolio"),1,0),0),0)))</f>
        <v/>
      </c>
      <c r="AA87" s="28">
        <f>IF(AND($A87&lt;&gt;"",$E87="",OR($Q87=1,$D87="Proposed")),1,0)</f>
        <v/>
      </c>
      <c r="AB87" s="28">
        <f>IF(AND($A87&lt;&gt;"",$B87="Program",$F87="",$Q87=1),1,0)</f>
        <v/>
      </c>
      <c r="AC87" s="28">
        <f>IF(OR($A87="",$D87="Completed",$D87="Terminated"),0,IF($C87="",1,IF($C87="Portfolio",0,IF($C87="Outside the portfolio",IF($Q87=1,2,0),IF($B87="Project",IF(IFERROR(INDEX($B$6:$B$305,MATCH($C87,$A$6:$A$305,0)),"")="Program",0,1),1)))))</f>
        <v/>
      </c>
      <c r="AD87" s="28">
        <f>IF(AND($A87&lt;&gt;"",OR($M87="■ Red",$M87="◧ Amber"),$L87=""),1,0)</f>
        <v/>
      </c>
      <c r="AE87" s="28">
        <f>$AA87+$AB87+IF($AC87&gt;0,1,0)+$AD87+$AG87+$AH87</f>
        <v/>
      </c>
      <c r="AF87" s="25" t="n"/>
      <c r="AG87" s="28">
        <f>IF(AND($A87&lt;&gt;"",$K87&lt;&gt;"",$C87&lt;&gt;"Portfolio",$D87&lt;&gt;"Completed",$D87&lt;&gt;"Terminated"),1,0)</f>
        <v/>
      </c>
      <c r="AH87" s="28">
        <f>IF(AND($A87&lt;&gt;"",COUNTIF($A$6:$A$305,$A87)&gt;1),1,0)</f>
        <v/>
      </c>
      <c r="AI87" s="28">
        <f>IF(AND($A87&lt;&gt;"",$C87="Portfolio"),COUNTIFS($C$6:$C87,"Portfolio",$A$6:$A87,"&lt;&gt;"),"")</f>
        <v/>
      </c>
    </row>
    <row r="88">
      <c r="A88" s="25" t="n"/>
      <c r="B88" s="25" t="n"/>
      <c r="C88" s="25" t="n"/>
      <c r="D88" s="25" t="n"/>
      <c r="E88" s="25" t="n"/>
      <c r="F88" s="25" t="n"/>
      <c r="G88" s="25" t="n"/>
      <c r="H88" s="26" t="n"/>
      <c r="I88" s="26" t="n"/>
      <c r="J88" s="27" t="n"/>
      <c r="K88" s="27" t="n"/>
      <c r="L88" s="23" t="n"/>
      <c r="M88" s="28">
        <f>IF($A88="","",IF($D88="","Not read",IF($Q88=0,"Not counted",IF(MAX($X88,$Y88)=3,"■ Red",IF(MAX($X88,$Y88)=2,"◧ Amber",IF(MAX($X88,$Y88)=1,"□ On track","Not read"))))))</f>
        <v/>
      </c>
      <c r="N88" s="28">
        <f>IF(OR($A88="",$B88&lt;&gt;"Program"),"","■ "&amp;COUNTIFS($C$6:$C$305,$A88,$M$6:$M$305,"■ Red")&amp;" Red, ◧ "&amp;COUNTIFS($C$6:$C$305,$A88,$M$6:$M$305,"◧ Amber")&amp;" Amber")</f>
        <v/>
      </c>
      <c r="O88" s="29">
        <f>IF(OR($A88="",$E88=""),"",COUNTIFS($E$6:$E$305,$E88,$D$6:$D$305,"Active")+COUNTIFS($E$6:$E$305,$E88,$D$6:$D$305,"Paused"))</f>
        <v/>
      </c>
      <c r="P88" s="28">
        <f>IF($A88="","",IF($AE88=0,"○ Clear",IF($AA88=1,"△ No owner",IF($AC88=1,"△ Check Sits under",IF($AC88=2,"△ Outside the portfolio",IF($AB88=1,"△ No sponsor",IF($AH88=1,"△ Name used twice",IF($AG88=1,"△ Budget only counts under Portfolio","△ No variance note"))))))&amp;IF($AE88&gt;1," (+"&amp;($AE88-1)&amp;" more)","")))</f>
        <v/>
      </c>
      <c r="Q88" s="28">
        <f>IF(AND($A88&lt;&gt;"",OR($D88="Active",$D88="Paused")),1,0)</f>
        <v/>
      </c>
      <c r="R88" s="28">
        <f>IFERROR(INDEX($A$6:$A$305,MATCH(81,$S$6:$S$305,0)),"")</f>
        <v/>
      </c>
      <c r="S88" s="28">
        <f>IF(AND($A88&lt;&gt;"",$B88="Program"),COUNTIFS($B$6:$B88,"Program",$A$6:$A88,"&lt;&gt;"),"")</f>
        <v/>
      </c>
      <c r="T88" s="30">
        <f>IF(AND($A88&lt;&gt;"",$B88="Program"),SUMPRODUCT(MAX(($C$6:$C$305=$A88)*($B$6:$B$305="Project")*($D$6:$D$305&lt;&gt;"Proposed")*$I$6:$I$305)),0)</f>
        <v/>
      </c>
      <c r="U88" s="30">
        <f>IF($I88&lt;&gt;"",$I88,IF($T88&gt;0,$T88,""))</f>
        <v/>
      </c>
      <c r="V88" s="28">
        <f>IF(AND($A88&lt;&gt;"",$B88="Program"),SUMIFS($J$6:$J$305,$C$6:$C$305,$A88,$B$6:$B$305,"Project",$D$6:$D$305,"&lt;&gt;Proposed"),0)</f>
        <v/>
      </c>
      <c r="W88" s="28">
        <f>IF(AND($A88&lt;&gt;"",$B88="Program"),COUNTIFS($C$6:$C$305,$A88,$B$6:$B$305,"Project",$D$6:$D$305,"&lt;&gt;Proposed")-COUNTIFS($C$6:$C$305,$A88,$B$6:$B$305,"Project",$D$6:$D$305,"&lt;&gt;Proposed",$J$6:$J$305,"&gt;=0"),0)</f>
        <v/>
      </c>
      <c r="X88" s="28">
        <f>IF(OR($Q88=0,$H88="",$AF88="Sprint"),0,IF(AND($B88="Project",$H88&lt;TODAY()),3,IF($U88="",0,IF($U88&lt;=$H88,1,IF(NETWORKDAYS($H88,$U88)-1&gt;IF($B88="Program",Checks!$B$7,Checks!$B$6),3,2)))))</f>
        <v/>
      </c>
      <c r="Y88" s="28">
        <f>IF(OR($Q88=0,$K88="",$K88=0,$AF88="Sprint"),0,IF(AND($B88="Project",$J88=""),0,IF(IF($B88="Program",$V88,$J88)&gt;$K88*(1+Checks!$B$8),3,IF(IF($B88="Program",$V88,$J88)&gt;$K88,2,IF(AND($B88="Program",OR($W88&gt;0,$V88=0)),0,1)))))</f>
        <v/>
      </c>
      <c r="Z88" s="28">
        <f>IF($A88="",0,IF($C88="Portfolio",1,IF(AND($B88="Project",$C88&lt;&gt;"",$C88&lt;&gt;"Outside the portfolio"),IFERROR(IF(AND(INDEX($B$6:$B$305,MATCH($C88,$A$6:$A$305,0))="Program",INDEX($C$6:$C$305,MATCH($C88,$A$6:$A$305,0))="Portfolio"),1,0),0),0)))</f>
        <v/>
      </c>
      <c r="AA88" s="28">
        <f>IF(AND($A88&lt;&gt;"",$E88="",OR($Q88=1,$D88="Proposed")),1,0)</f>
        <v/>
      </c>
      <c r="AB88" s="28">
        <f>IF(AND($A88&lt;&gt;"",$B88="Program",$F88="",$Q88=1),1,0)</f>
        <v/>
      </c>
      <c r="AC88" s="28">
        <f>IF(OR($A88="",$D88="Completed",$D88="Terminated"),0,IF($C88="",1,IF($C88="Portfolio",0,IF($C88="Outside the portfolio",IF($Q88=1,2,0),IF($B88="Project",IF(IFERROR(INDEX($B$6:$B$305,MATCH($C88,$A$6:$A$305,0)),"")="Program",0,1),1)))))</f>
        <v/>
      </c>
      <c r="AD88" s="28">
        <f>IF(AND($A88&lt;&gt;"",OR($M88="■ Red",$M88="◧ Amber"),$L88=""),1,0)</f>
        <v/>
      </c>
      <c r="AE88" s="28">
        <f>$AA88+$AB88+IF($AC88&gt;0,1,0)+$AD88+$AG88+$AH88</f>
        <v/>
      </c>
      <c r="AF88" s="25" t="n"/>
      <c r="AG88" s="28">
        <f>IF(AND($A88&lt;&gt;"",$K88&lt;&gt;"",$C88&lt;&gt;"Portfolio",$D88&lt;&gt;"Completed",$D88&lt;&gt;"Terminated"),1,0)</f>
        <v/>
      </c>
      <c r="AH88" s="28">
        <f>IF(AND($A88&lt;&gt;"",COUNTIF($A$6:$A$305,$A88)&gt;1),1,0)</f>
        <v/>
      </c>
      <c r="AI88" s="28">
        <f>IF(AND($A88&lt;&gt;"",$C88="Portfolio"),COUNTIFS($C$6:$C88,"Portfolio",$A$6:$A88,"&lt;&gt;"),"")</f>
        <v/>
      </c>
    </row>
    <row r="89">
      <c r="A89" s="25" t="n"/>
      <c r="B89" s="25" t="n"/>
      <c r="C89" s="25" t="n"/>
      <c r="D89" s="25" t="n"/>
      <c r="E89" s="25" t="n"/>
      <c r="F89" s="25" t="n"/>
      <c r="G89" s="25" t="n"/>
      <c r="H89" s="26" t="n"/>
      <c r="I89" s="26" t="n"/>
      <c r="J89" s="27" t="n"/>
      <c r="K89" s="27" t="n"/>
      <c r="L89" s="23" t="n"/>
      <c r="M89" s="28">
        <f>IF($A89="","",IF($D89="","Not read",IF($Q89=0,"Not counted",IF(MAX($X89,$Y89)=3,"■ Red",IF(MAX($X89,$Y89)=2,"◧ Amber",IF(MAX($X89,$Y89)=1,"□ On track","Not read"))))))</f>
        <v/>
      </c>
      <c r="N89" s="28">
        <f>IF(OR($A89="",$B89&lt;&gt;"Program"),"","■ "&amp;COUNTIFS($C$6:$C$305,$A89,$M$6:$M$305,"■ Red")&amp;" Red, ◧ "&amp;COUNTIFS($C$6:$C$305,$A89,$M$6:$M$305,"◧ Amber")&amp;" Amber")</f>
        <v/>
      </c>
      <c r="O89" s="29">
        <f>IF(OR($A89="",$E89=""),"",COUNTIFS($E$6:$E$305,$E89,$D$6:$D$305,"Active")+COUNTIFS($E$6:$E$305,$E89,$D$6:$D$305,"Paused"))</f>
        <v/>
      </c>
      <c r="P89" s="28">
        <f>IF($A89="","",IF($AE89=0,"○ Clear",IF($AA89=1,"△ No owner",IF($AC89=1,"△ Check Sits under",IF($AC89=2,"△ Outside the portfolio",IF($AB89=1,"△ No sponsor",IF($AH89=1,"△ Name used twice",IF($AG89=1,"△ Budget only counts under Portfolio","△ No variance note"))))))&amp;IF($AE89&gt;1," (+"&amp;($AE89-1)&amp;" more)","")))</f>
        <v/>
      </c>
      <c r="Q89" s="28">
        <f>IF(AND($A89&lt;&gt;"",OR($D89="Active",$D89="Paused")),1,0)</f>
        <v/>
      </c>
      <c r="R89" s="28">
        <f>IFERROR(INDEX($A$6:$A$305,MATCH(82,$S$6:$S$305,0)),"")</f>
        <v/>
      </c>
      <c r="S89" s="28">
        <f>IF(AND($A89&lt;&gt;"",$B89="Program"),COUNTIFS($B$6:$B89,"Program",$A$6:$A89,"&lt;&gt;"),"")</f>
        <v/>
      </c>
      <c r="T89" s="30">
        <f>IF(AND($A89&lt;&gt;"",$B89="Program"),SUMPRODUCT(MAX(($C$6:$C$305=$A89)*($B$6:$B$305="Project")*($D$6:$D$305&lt;&gt;"Proposed")*$I$6:$I$305)),0)</f>
        <v/>
      </c>
      <c r="U89" s="30">
        <f>IF($I89&lt;&gt;"",$I89,IF($T89&gt;0,$T89,""))</f>
        <v/>
      </c>
      <c r="V89" s="28">
        <f>IF(AND($A89&lt;&gt;"",$B89="Program"),SUMIFS($J$6:$J$305,$C$6:$C$305,$A89,$B$6:$B$305,"Project",$D$6:$D$305,"&lt;&gt;Proposed"),0)</f>
        <v/>
      </c>
      <c r="W89" s="28">
        <f>IF(AND($A89&lt;&gt;"",$B89="Program"),COUNTIFS($C$6:$C$305,$A89,$B$6:$B$305,"Project",$D$6:$D$305,"&lt;&gt;Proposed")-COUNTIFS($C$6:$C$305,$A89,$B$6:$B$305,"Project",$D$6:$D$305,"&lt;&gt;Proposed",$J$6:$J$305,"&gt;=0"),0)</f>
        <v/>
      </c>
      <c r="X89" s="28">
        <f>IF(OR($Q89=0,$H89="",$AF89="Sprint"),0,IF(AND($B89="Project",$H89&lt;TODAY()),3,IF($U89="",0,IF($U89&lt;=$H89,1,IF(NETWORKDAYS($H89,$U89)-1&gt;IF($B89="Program",Checks!$B$7,Checks!$B$6),3,2)))))</f>
        <v/>
      </c>
      <c r="Y89" s="28">
        <f>IF(OR($Q89=0,$K89="",$K89=0,$AF89="Sprint"),0,IF(AND($B89="Project",$J89=""),0,IF(IF($B89="Program",$V89,$J89)&gt;$K89*(1+Checks!$B$8),3,IF(IF($B89="Program",$V89,$J89)&gt;$K89,2,IF(AND($B89="Program",OR($W89&gt;0,$V89=0)),0,1)))))</f>
        <v/>
      </c>
      <c r="Z89" s="28">
        <f>IF($A89="",0,IF($C89="Portfolio",1,IF(AND($B89="Project",$C89&lt;&gt;"",$C89&lt;&gt;"Outside the portfolio"),IFERROR(IF(AND(INDEX($B$6:$B$305,MATCH($C89,$A$6:$A$305,0))="Program",INDEX($C$6:$C$305,MATCH($C89,$A$6:$A$305,0))="Portfolio"),1,0),0),0)))</f>
        <v/>
      </c>
      <c r="AA89" s="28">
        <f>IF(AND($A89&lt;&gt;"",$E89="",OR($Q89=1,$D89="Proposed")),1,0)</f>
        <v/>
      </c>
      <c r="AB89" s="28">
        <f>IF(AND($A89&lt;&gt;"",$B89="Program",$F89="",$Q89=1),1,0)</f>
        <v/>
      </c>
      <c r="AC89" s="28">
        <f>IF(OR($A89="",$D89="Completed",$D89="Terminated"),0,IF($C89="",1,IF($C89="Portfolio",0,IF($C89="Outside the portfolio",IF($Q89=1,2,0),IF($B89="Project",IF(IFERROR(INDEX($B$6:$B$305,MATCH($C89,$A$6:$A$305,0)),"")="Program",0,1),1)))))</f>
        <v/>
      </c>
      <c r="AD89" s="28">
        <f>IF(AND($A89&lt;&gt;"",OR($M89="■ Red",$M89="◧ Amber"),$L89=""),1,0)</f>
        <v/>
      </c>
      <c r="AE89" s="28">
        <f>$AA89+$AB89+IF($AC89&gt;0,1,0)+$AD89+$AG89+$AH89</f>
        <v/>
      </c>
      <c r="AF89" s="25" t="n"/>
      <c r="AG89" s="28">
        <f>IF(AND($A89&lt;&gt;"",$K89&lt;&gt;"",$C89&lt;&gt;"Portfolio",$D89&lt;&gt;"Completed",$D89&lt;&gt;"Terminated"),1,0)</f>
        <v/>
      </c>
      <c r="AH89" s="28">
        <f>IF(AND($A89&lt;&gt;"",COUNTIF($A$6:$A$305,$A89)&gt;1),1,0)</f>
        <v/>
      </c>
      <c r="AI89" s="28">
        <f>IF(AND($A89&lt;&gt;"",$C89="Portfolio"),COUNTIFS($C$6:$C89,"Portfolio",$A$6:$A89,"&lt;&gt;"),"")</f>
        <v/>
      </c>
    </row>
    <row r="90">
      <c r="A90" s="25" t="n"/>
      <c r="B90" s="25" t="n"/>
      <c r="C90" s="25" t="n"/>
      <c r="D90" s="25" t="n"/>
      <c r="E90" s="25" t="n"/>
      <c r="F90" s="25" t="n"/>
      <c r="G90" s="25" t="n"/>
      <c r="H90" s="26" t="n"/>
      <c r="I90" s="26" t="n"/>
      <c r="J90" s="27" t="n"/>
      <c r="K90" s="27" t="n"/>
      <c r="L90" s="23" t="n"/>
      <c r="M90" s="28">
        <f>IF($A90="","",IF($D90="","Not read",IF($Q90=0,"Not counted",IF(MAX($X90,$Y90)=3,"■ Red",IF(MAX($X90,$Y90)=2,"◧ Amber",IF(MAX($X90,$Y90)=1,"□ On track","Not read"))))))</f>
        <v/>
      </c>
      <c r="N90" s="28">
        <f>IF(OR($A90="",$B90&lt;&gt;"Program"),"","■ "&amp;COUNTIFS($C$6:$C$305,$A90,$M$6:$M$305,"■ Red")&amp;" Red, ◧ "&amp;COUNTIFS($C$6:$C$305,$A90,$M$6:$M$305,"◧ Amber")&amp;" Amber")</f>
        <v/>
      </c>
      <c r="O90" s="29">
        <f>IF(OR($A90="",$E90=""),"",COUNTIFS($E$6:$E$305,$E90,$D$6:$D$305,"Active")+COUNTIFS($E$6:$E$305,$E90,$D$6:$D$305,"Paused"))</f>
        <v/>
      </c>
      <c r="P90" s="28">
        <f>IF($A90="","",IF($AE90=0,"○ Clear",IF($AA90=1,"△ No owner",IF($AC90=1,"△ Check Sits under",IF($AC90=2,"△ Outside the portfolio",IF($AB90=1,"△ No sponsor",IF($AH90=1,"△ Name used twice",IF($AG90=1,"△ Budget only counts under Portfolio","△ No variance note"))))))&amp;IF($AE90&gt;1," (+"&amp;($AE90-1)&amp;" more)","")))</f>
        <v/>
      </c>
      <c r="Q90" s="28">
        <f>IF(AND($A90&lt;&gt;"",OR($D90="Active",$D90="Paused")),1,0)</f>
        <v/>
      </c>
      <c r="R90" s="28">
        <f>IFERROR(INDEX($A$6:$A$305,MATCH(83,$S$6:$S$305,0)),"")</f>
        <v/>
      </c>
      <c r="S90" s="28">
        <f>IF(AND($A90&lt;&gt;"",$B90="Program"),COUNTIFS($B$6:$B90,"Program",$A$6:$A90,"&lt;&gt;"),"")</f>
        <v/>
      </c>
      <c r="T90" s="30">
        <f>IF(AND($A90&lt;&gt;"",$B90="Program"),SUMPRODUCT(MAX(($C$6:$C$305=$A90)*($B$6:$B$305="Project")*($D$6:$D$305&lt;&gt;"Proposed")*$I$6:$I$305)),0)</f>
        <v/>
      </c>
      <c r="U90" s="30">
        <f>IF($I90&lt;&gt;"",$I90,IF($T90&gt;0,$T90,""))</f>
        <v/>
      </c>
      <c r="V90" s="28">
        <f>IF(AND($A90&lt;&gt;"",$B90="Program"),SUMIFS($J$6:$J$305,$C$6:$C$305,$A90,$B$6:$B$305,"Project",$D$6:$D$305,"&lt;&gt;Proposed"),0)</f>
        <v/>
      </c>
      <c r="W90" s="28">
        <f>IF(AND($A90&lt;&gt;"",$B90="Program"),COUNTIFS($C$6:$C$305,$A90,$B$6:$B$305,"Project",$D$6:$D$305,"&lt;&gt;Proposed")-COUNTIFS($C$6:$C$305,$A90,$B$6:$B$305,"Project",$D$6:$D$305,"&lt;&gt;Proposed",$J$6:$J$305,"&gt;=0"),0)</f>
        <v/>
      </c>
      <c r="X90" s="28">
        <f>IF(OR($Q90=0,$H90="",$AF90="Sprint"),0,IF(AND($B90="Project",$H90&lt;TODAY()),3,IF($U90="",0,IF($U90&lt;=$H90,1,IF(NETWORKDAYS($H90,$U90)-1&gt;IF($B90="Program",Checks!$B$7,Checks!$B$6),3,2)))))</f>
        <v/>
      </c>
      <c r="Y90" s="28">
        <f>IF(OR($Q90=0,$K90="",$K90=0,$AF90="Sprint"),0,IF(AND($B90="Project",$J90=""),0,IF(IF($B90="Program",$V90,$J90)&gt;$K90*(1+Checks!$B$8),3,IF(IF($B90="Program",$V90,$J90)&gt;$K90,2,IF(AND($B90="Program",OR($W90&gt;0,$V90=0)),0,1)))))</f>
        <v/>
      </c>
      <c r="Z90" s="28">
        <f>IF($A90="",0,IF($C90="Portfolio",1,IF(AND($B90="Project",$C90&lt;&gt;"",$C90&lt;&gt;"Outside the portfolio"),IFERROR(IF(AND(INDEX($B$6:$B$305,MATCH($C90,$A$6:$A$305,0))="Program",INDEX($C$6:$C$305,MATCH($C90,$A$6:$A$305,0))="Portfolio"),1,0),0),0)))</f>
        <v/>
      </c>
      <c r="AA90" s="28">
        <f>IF(AND($A90&lt;&gt;"",$E90="",OR($Q90=1,$D90="Proposed")),1,0)</f>
        <v/>
      </c>
      <c r="AB90" s="28">
        <f>IF(AND($A90&lt;&gt;"",$B90="Program",$F90="",$Q90=1),1,0)</f>
        <v/>
      </c>
      <c r="AC90" s="28">
        <f>IF(OR($A90="",$D90="Completed",$D90="Terminated"),0,IF($C90="",1,IF($C90="Portfolio",0,IF($C90="Outside the portfolio",IF($Q90=1,2,0),IF($B90="Project",IF(IFERROR(INDEX($B$6:$B$305,MATCH($C90,$A$6:$A$305,0)),"")="Program",0,1),1)))))</f>
        <v/>
      </c>
      <c r="AD90" s="28">
        <f>IF(AND($A90&lt;&gt;"",OR($M90="■ Red",$M90="◧ Amber"),$L90=""),1,0)</f>
        <v/>
      </c>
      <c r="AE90" s="28">
        <f>$AA90+$AB90+IF($AC90&gt;0,1,0)+$AD90+$AG90+$AH90</f>
        <v/>
      </c>
      <c r="AF90" s="25" t="n"/>
      <c r="AG90" s="28">
        <f>IF(AND($A90&lt;&gt;"",$K90&lt;&gt;"",$C90&lt;&gt;"Portfolio",$D90&lt;&gt;"Completed",$D90&lt;&gt;"Terminated"),1,0)</f>
        <v/>
      </c>
      <c r="AH90" s="28">
        <f>IF(AND($A90&lt;&gt;"",COUNTIF($A$6:$A$305,$A90)&gt;1),1,0)</f>
        <v/>
      </c>
      <c r="AI90" s="28">
        <f>IF(AND($A90&lt;&gt;"",$C90="Portfolio"),COUNTIFS($C$6:$C90,"Portfolio",$A$6:$A90,"&lt;&gt;"),"")</f>
        <v/>
      </c>
    </row>
    <row r="91">
      <c r="A91" s="25" t="n"/>
      <c r="B91" s="25" t="n"/>
      <c r="C91" s="25" t="n"/>
      <c r="D91" s="25" t="n"/>
      <c r="E91" s="25" t="n"/>
      <c r="F91" s="25" t="n"/>
      <c r="G91" s="25" t="n"/>
      <c r="H91" s="26" t="n"/>
      <c r="I91" s="26" t="n"/>
      <c r="J91" s="27" t="n"/>
      <c r="K91" s="27" t="n"/>
      <c r="L91" s="23" t="n"/>
      <c r="M91" s="28">
        <f>IF($A91="","",IF($D91="","Not read",IF($Q91=0,"Not counted",IF(MAX($X91,$Y91)=3,"■ Red",IF(MAX($X91,$Y91)=2,"◧ Amber",IF(MAX($X91,$Y91)=1,"□ On track","Not read"))))))</f>
        <v/>
      </c>
      <c r="N91" s="28">
        <f>IF(OR($A91="",$B91&lt;&gt;"Program"),"","■ "&amp;COUNTIFS($C$6:$C$305,$A91,$M$6:$M$305,"■ Red")&amp;" Red, ◧ "&amp;COUNTIFS($C$6:$C$305,$A91,$M$6:$M$305,"◧ Amber")&amp;" Amber")</f>
        <v/>
      </c>
      <c r="O91" s="29">
        <f>IF(OR($A91="",$E91=""),"",COUNTIFS($E$6:$E$305,$E91,$D$6:$D$305,"Active")+COUNTIFS($E$6:$E$305,$E91,$D$6:$D$305,"Paused"))</f>
        <v/>
      </c>
      <c r="P91" s="28">
        <f>IF($A91="","",IF($AE91=0,"○ Clear",IF($AA91=1,"△ No owner",IF($AC91=1,"△ Check Sits under",IF($AC91=2,"△ Outside the portfolio",IF($AB91=1,"△ No sponsor",IF($AH91=1,"△ Name used twice",IF($AG91=1,"△ Budget only counts under Portfolio","△ No variance note"))))))&amp;IF($AE91&gt;1," (+"&amp;($AE91-1)&amp;" more)","")))</f>
        <v/>
      </c>
      <c r="Q91" s="28">
        <f>IF(AND($A91&lt;&gt;"",OR($D91="Active",$D91="Paused")),1,0)</f>
        <v/>
      </c>
      <c r="R91" s="28">
        <f>IFERROR(INDEX($A$6:$A$305,MATCH(84,$S$6:$S$305,0)),"")</f>
        <v/>
      </c>
      <c r="S91" s="28">
        <f>IF(AND($A91&lt;&gt;"",$B91="Program"),COUNTIFS($B$6:$B91,"Program",$A$6:$A91,"&lt;&gt;"),"")</f>
        <v/>
      </c>
      <c r="T91" s="30">
        <f>IF(AND($A91&lt;&gt;"",$B91="Program"),SUMPRODUCT(MAX(($C$6:$C$305=$A91)*($B$6:$B$305="Project")*($D$6:$D$305&lt;&gt;"Proposed")*$I$6:$I$305)),0)</f>
        <v/>
      </c>
      <c r="U91" s="30">
        <f>IF($I91&lt;&gt;"",$I91,IF($T91&gt;0,$T91,""))</f>
        <v/>
      </c>
      <c r="V91" s="28">
        <f>IF(AND($A91&lt;&gt;"",$B91="Program"),SUMIFS($J$6:$J$305,$C$6:$C$305,$A91,$B$6:$B$305,"Project",$D$6:$D$305,"&lt;&gt;Proposed"),0)</f>
        <v/>
      </c>
      <c r="W91" s="28">
        <f>IF(AND($A91&lt;&gt;"",$B91="Program"),COUNTIFS($C$6:$C$305,$A91,$B$6:$B$305,"Project",$D$6:$D$305,"&lt;&gt;Proposed")-COUNTIFS($C$6:$C$305,$A91,$B$6:$B$305,"Project",$D$6:$D$305,"&lt;&gt;Proposed",$J$6:$J$305,"&gt;=0"),0)</f>
        <v/>
      </c>
      <c r="X91" s="28">
        <f>IF(OR($Q91=0,$H91="",$AF91="Sprint"),0,IF(AND($B91="Project",$H91&lt;TODAY()),3,IF($U91="",0,IF($U91&lt;=$H91,1,IF(NETWORKDAYS($H91,$U91)-1&gt;IF($B91="Program",Checks!$B$7,Checks!$B$6),3,2)))))</f>
        <v/>
      </c>
      <c r="Y91" s="28">
        <f>IF(OR($Q91=0,$K91="",$K91=0,$AF91="Sprint"),0,IF(AND($B91="Project",$J91=""),0,IF(IF($B91="Program",$V91,$J91)&gt;$K91*(1+Checks!$B$8),3,IF(IF($B91="Program",$V91,$J91)&gt;$K91,2,IF(AND($B91="Program",OR($W91&gt;0,$V91=0)),0,1)))))</f>
        <v/>
      </c>
      <c r="Z91" s="28">
        <f>IF($A91="",0,IF($C91="Portfolio",1,IF(AND($B91="Project",$C91&lt;&gt;"",$C91&lt;&gt;"Outside the portfolio"),IFERROR(IF(AND(INDEX($B$6:$B$305,MATCH($C91,$A$6:$A$305,0))="Program",INDEX($C$6:$C$305,MATCH($C91,$A$6:$A$305,0))="Portfolio"),1,0),0),0)))</f>
        <v/>
      </c>
      <c r="AA91" s="28">
        <f>IF(AND($A91&lt;&gt;"",$E91="",OR($Q91=1,$D91="Proposed")),1,0)</f>
        <v/>
      </c>
      <c r="AB91" s="28">
        <f>IF(AND($A91&lt;&gt;"",$B91="Program",$F91="",$Q91=1),1,0)</f>
        <v/>
      </c>
      <c r="AC91" s="28">
        <f>IF(OR($A91="",$D91="Completed",$D91="Terminated"),0,IF($C91="",1,IF($C91="Portfolio",0,IF($C91="Outside the portfolio",IF($Q91=1,2,0),IF($B91="Project",IF(IFERROR(INDEX($B$6:$B$305,MATCH($C91,$A$6:$A$305,0)),"")="Program",0,1),1)))))</f>
        <v/>
      </c>
      <c r="AD91" s="28">
        <f>IF(AND($A91&lt;&gt;"",OR($M91="■ Red",$M91="◧ Amber"),$L91=""),1,0)</f>
        <v/>
      </c>
      <c r="AE91" s="28">
        <f>$AA91+$AB91+IF($AC91&gt;0,1,0)+$AD91+$AG91+$AH91</f>
        <v/>
      </c>
      <c r="AF91" s="25" t="n"/>
      <c r="AG91" s="28">
        <f>IF(AND($A91&lt;&gt;"",$K91&lt;&gt;"",$C91&lt;&gt;"Portfolio",$D91&lt;&gt;"Completed",$D91&lt;&gt;"Terminated"),1,0)</f>
        <v/>
      </c>
      <c r="AH91" s="28">
        <f>IF(AND($A91&lt;&gt;"",COUNTIF($A$6:$A$305,$A91)&gt;1),1,0)</f>
        <v/>
      </c>
      <c r="AI91" s="28">
        <f>IF(AND($A91&lt;&gt;"",$C91="Portfolio"),COUNTIFS($C$6:$C91,"Portfolio",$A$6:$A91,"&lt;&gt;"),"")</f>
        <v/>
      </c>
    </row>
    <row r="92">
      <c r="A92" s="25" t="n"/>
      <c r="B92" s="25" t="n"/>
      <c r="C92" s="25" t="n"/>
      <c r="D92" s="25" t="n"/>
      <c r="E92" s="25" t="n"/>
      <c r="F92" s="25" t="n"/>
      <c r="G92" s="25" t="n"/>
      <c r="H92" s="26" t="n"/>
      <c r="I92" s="26" t="n"/>
      <c r="J92" s="27" t="n"/>
      <c r="K92" s="27" t="n"/>
      <c r="L92" s="23" t="n"/>
      <c r="M92" s="28">
        <f>IF($A92="","",IF($D92="","Not read",IF($Q92=0,"Not counted",IF(MAX($X92,$Y92)=3,"■ Red",IF(MAX($X92,$Y92)=2,"◧ Amber",IF(MAX($X92,$Y92)=1,"□ On track","Not read"))))))</f>
        <v/>
      </c>
      <c r="N92" s="28">
        <f>IF(OR($A92="",$B92&lt;&gt;"Program"),"","■ "&amp;COUNTIFS($C$6:$C$305,$A92,$M$6:$M$305,"■ Red")&amp;" Red, ◧ "&amp;COUNTIFS($C$6:$C$305,$A92,$M$6:$M$305,"◧ Amber")&amp;" Amber")</f>
        <v/>
      </c>
      <c r="O92" s="29">
        <f>IF(OR($A92="",$E92=""),"",COUNTIFS($E$6:$E$305,$E92,$D$6:$D$305,"Active")+COUNTIFS($E$6:$E$305,$E92,$D$6:$D$305,"Paused"))</f>
        <v/>
      </c>
      <c r="P92" s="28">
        <f>IF($A92="","",IF($AE92=0,"○ Clear",IF($AA92=1,"△ No owner",IF($AC92=1,"△ Check Sits under",IF($AC92=2,"△ Outside the portfolio",IF($AB92=1,"△ No sponsor",IF($AH92=1,"△ Name used twice",IF($AG92=1,"△ Budget only counts under Portfolio","△ No variance note"))))))&amp;IF($AE92&gt;1," (+"&amp;($AE92-1)&amp;" more)","")))</f>
        <v/>
      </c>
      <c r="Q92" s="28">
        <f>IF(AND($A92&lt;&gt;"",OR($D92="Active",$D92="Paused")),1,0)</f>
        <v/>
      </c>
      <c r="R92" s="28">
        <f>IFERROR(INDEX($A$6:$A$305,MATCH(85,$S$6:$S$305,0)),"")</f>
        <v/>
      </c>
      <c r="S92" s="28">
        <f>IF(AND($A92&lt;&gt;"",$B92="Program"),COUNTIFS($B$6:$B92,"Program",$A$6:$A92,"&lt;&gt;"),"")</f>
        <v/>
      </c>
      <c r="T92" s="30">
        <f>IF(AND($A92&lt;&gt;"",$B92="Program"),SUMPRODUCT(MAX(($C$6:$C$305=$A92)*($B$6:$B$305="Project")*($D$6:$D$305&lt;&gt;"Proposed")*$I$6:$I$305)),0)</f>
        <v/>
      </c>
      <c r="U92" s="30">
        <f>IF($I92&lt;&gt;"",$I92,IF($T92&gt;0,$T92,""))</f>
        <v/>
      </c>
      <c r="V92" s="28">
        <f>IF(AND($A92&lt;&gt;"",$B92="Program"),SUMIFS($J$6:$J$305,$C$6:$C$305,$A92,$B$6:$B$305,"Project",$D$6:$D$305,"&lt;&gt;Proposed"),0)</f>
        <v/>
      </c>
      <c r="W92" s="28">
        <f>IF(AND($A92&lt;&gt;"",$B92="Program"),COUNTIFS($C$6:$C$305,$A92,$B$6:$B$305,"Project",$D$6:$D$305,"&lt;&gt;Proposed")-COUNTIFS($C$6:$C$305,$A92,$B$6:$B$305,"Project",$D$6:$D$305,"&lt;&gt;Proposed",$J$6:$J$305,"&gt;=0"),0)</f>
        <v/>
      </c>
      <c r="X92" s="28">
        <f>IF(OR($Q92=0,$H92="",$AF92="Sprint"),0,IF(AND($B92="Project",$H92&lt;TODAY()),3,IF($U92="",0,IF($U92&lt;=$H92,1,IF(NETWORKDAYS($H92,$U92)-1&gt;IF($B92="Program",Checks!$B$7,Checks!$B$6),3,2)))))</f>
        <v/>
      </c>
      <c r="Y92" s="28">
        <f>IF(OR($Q92=0,$K92="",$K92=0,$AF92="Sprint"),0,IF(AND($B92="Project",$J92=""),0,IF(IF($B92="Program",$V92,$J92)&gt;$K92*(1+Checks!$B$8),3,IF(IF($B92="Program",$V92,$J92)&gt;$K92,2,IF(AND($B92="Program",OR($W92&gt;0,$V92=0)),0,1)))))</f>
        <v/>
      </c>
      <c r="Z92" s="28">
        <f>IF($A92="",0,IF($C92="Portfolio",1,IF(AND($B92="Project",$C92&lt;&gt;"",$C92&lt;&gt;"Outside the portfolio"),IFERROR(IF(AND(INDEX($B$6:$B$305,MATCH($C92,$A$6:$A$305,0))="Program",INDEX($C$6:$C$305,MATCH($C92,$A$6:$A$305,0))="Portfolio"),1,0),0),0)))</f>
        <v/>
      </c>
      <c r="AA92" s="28">
        <f>IF(AND($A92&lt;&gt;"",$E92="",OR($Q92=1,$D92="Proposed")),1,0)</f>
        <v/>
      </c>
      <c r="AB92" s="28">
        <f>IF(AND($A92&lt;&gt;"",$B92="Program",$F92="",$Q92=1),1,0)</f>
        <v/>
      </c>
      <c r="AC92" s="28">
        <f>IF(OR($A92="",$D92="Completed",$D92="Terminated"),0,IF($C92="",1,IF($C92="Portfolio",0,IF($C92="Outside the portfolio",IF($Q92=1,2,0),IF($B92="Project",IF(IFERROR(INDEX($B$6:$B$305,MATCH($C92,$A$6:$A$305,0)),"")="Program",0,1),1)))))</f>
        <v/>
      </c>
      <c r="AD92" s="28">
        <f>IF(AND($A92&lt;&gt;"",OR($M92="■ Red",$M92="◧ Amber"),$L92=""),1,0)</f>
        <v/>
      </c>
      <c r="AE92" s="28">
        <f>$AA92+$AB92+IF($AC92&gt;0,1,0)+$AD92+$AG92+$AH92</f>
        <v/>
      </c>
      <c r="AF92" s="25" t="n"/>
      <c r="AG92" s="28">
        <f>IF(AND($A92&lt;&gt;"",$K92&lt;&gt;"",$C92&lt;&gt;"Portfolio",$D92&lt;&gt;"Completed",$D92&lt;&gt;"Terminated"),1,0)</f>
        <v/>
      </c>
      <c r="AH92" s="28">
        <f>IF(AND($A92&lt;&gt;"",COUNTIF($A$6:$A$305,$A92)&gt;1),1,0)</f>
        <v/>
      </c>
      <c r="AI92" s="28">
        <f>IF(AND($A92&lt;&gt;"",$C92="Portfolio"),COUNTIFS($C$6:$C92,"Portfolio",$A$6:$A92,"&lt;&gt;"),"")</f>
        <v/>
      </c>
    </row>
    <row r="93">
      <c r="A93" s="25" t="n"/>
      <c r="B93" s="25" t="n"/>
      <c r="C93" s="25" t="n"/>
      <c r="D93" s="25" t="n"/>
      <c r="E93" s="25" t="n"/>
      <c r="F93" s="25" t="n"/>
      <c r="G93" s="25" t="n"/>
      <c r="H93" s="26" t="n"/>
      <c r="I93" s="26" t="n"/>
      <c r="J93" s="27" t="n"/>
      <c r="K93" s="27" t="n"/>
      <c r="L93" s="23" t="n"/>
      <c r="M93" s="28">
        <f>IF($A93="","",IF($D93="","Not read",IF($Q93=0,"Not counted",IF(MAX($X93,$Y93)=3,"■ Red",IF(MAX($X93,$Y93)=2,"◧ Amber",IF(MAX($X93,$Y93)=1,"□ On track","Not read"))))))</f>
        <v/>
      </c>
      <c r="N93" s="28">
        <f>IF(OR($A93="",$B93&lt;&gt;"Program"),"","■ "&amp;COUNTIFS($C$6:$C$305,$A93,$M$6:$M$305,"■ Red")&amp;" Red, ◧ "&amp;COUNTIFS($C$6:$C$305,$A93,$M$6:$M$305,"◧ Amber")&amp;" Amber")</f>
        <v/>
      </c>
      <c r="O93" s="29">
        <f>IF(OR($A93="",$E93=""),"",COUNTIFS($E$6:$E$305,$E93,$D$6:$D$305,"Active")+COUNTIFS($E$6:$E$305,$E93,$D$6:$D$305,"Paused"))</f>
        <v/>
      </c>
      <c r="P93" s="28">
        <f>IF($A93="","",IF($AE93=0,"○ Clear",IF($AA93=1,"△ No owner",IF($AC93=1,"△ Check Sits under",IF($AC93=2,"△ Outside the portfolio",IF($AB93=1,"△ No sponsor",IF($AH93=1,"△ Name used twice",IF($AG93=1,"△ Budget only counts under Portfolio","△ No variance note"))))))&amp;IF($AE93&gt;1," (+"&amp;($AE93-1)&amp;" more)","")))</f>
        <v/>
      </c>
      <c r="Q93" s="28">
        <f>IF(AND($A93&lt;&gt;"",OR($D93="Active",$D93="Paused")),1,0)</f>
        <v/>
      </c>
      <c r="R93" s="28">
        <f>IFERROR(INDEX($A$6:$A$305,MATCH(86,$S$6:$S$305,0)),"")</f>
        <v/>
      </c>
      <c r="S93" s="28">
        <f>IF(AND($A93&lt;&gt;"",$B93="Program"),COUNTIFS($B$6:$B93,"Program",$A$6:$A93,"&lt;&gt;"),"")</f>
        <v/>
      </c>
      <c r="T93" s="30">
        <f>IF(AND($A93&lt;&gt;"",$B93="Program"),SUMPRODUCT(MAX(($C$6:$C$305=$A93)*($B$6:$B$305="Project")*($D$6:$D$305&lt;&gt;"Proposed")*$I$6:$I$305)),0)</f>
        <v/>
      </c>
      <c r="U93" s="30">
        <f>IF($I93&lt;&gt;"",$I93,IF($T93&gt;0,$T93,""))</f>
        <v/>
      </c>
      <c r="V93" s="28">
        <f>IF(AND($A93&lt;&gt;"",$B93="Program"),SUMIFS($J$6:$J$305,$C$6:$C$305,$A93,$B$6:$B$305,"Project",$D$6:$D$305,"&lt;&gt;Proposed"),0)</f>
        <v/>
      </c>
      <c r="W93" s="28">
        <f>IF(AND($A93&lt;&gt;"",$B93="Program"),COUNTIFS($C$6:$C$305,$A93,$B$6:$B$305,"Project",$D$6:$D$305,"&lt;&gt;Proposed")-COUNTIFS($C$6:$C$305,$A93,$B$6:$B$305,"Project",$D$6:$D$305,"&lt;&gt;Proposed",$J$6:$J$305,"&gt;=0"),0)</f>
        <v/>
      </c>
      <c r="X93" s="28">
        <f>IF(OR($Q93=0,$H93="",$AF93="Sprint"),0,IF(AND($B93="Project",$H93&lt;TODAY()),3,IF($U93="",0,IF($U93&lt;=$H93,1,IF(NETWORKDAYS($H93,$U93)-1&gt;IF($B93="Program",Checks!$B$7,Checks!$B$6),3,2)))))</f>
        <v/>
      </c>
      <c r="Y93" s="28">
        <f>IF(OR($Q93=0,$K93="",$K93=0,$AF93="Sprint"),0,IF(AND($B93="Project",$J93=""),0,IF(IF($B93="Program",$V93,$J93)&gt;$K93*(1+Checks!$B$8),3,IF(IF($B93="Program",$V93,$J93)&gt;$K93,2,IF(AND($B93="Program",OR($W93&gt;0,$V93=0)),0,1)))))</f>
        <v/>
      </c>
      <c r="Z93" s="28">
        <f>IF($A93="",0,IF($C93="Portfolio",1,IF(AND($B93="Project",$C93&lt;&gt;"",$C93&lt;&gt;"Outside the portfolio"),IFERROR(IF(AND(INDEX($B$6:$B$305,MATCH($C93,$A$6:$A$305,0))="Program",INDEX($C$6:$C$305,MATCH($C93,$A$6:$A$305,0))="Portfolio"),1,0),0),0)))</f>
        <v/>
      </c>
      <c r="AA93" s="28">
        <f>IF(AND($A93&lt;&gt;"",$E93="",OR($Q93=1,$D93="Proposed")),1,0)</f>
        <v/>
      </c>
      <c r="AB93" s="28">
        <f>IF(AND($A93&lt;&gt;"",$B93="Program",$F93="",$Q93=1),1,0)</f>
        <v/>
      </c>
      <c r="AC93" s="28">
        <f>IF(OR($A93="",$D93="Completed",$D93="Terminated"),0,IF($C93="",1,IF($C93="Portfolio",0,IF($C93="Outside the portfolio",IF($Q93=1,2,0),IF($B93="Project",IF(IFERROR(INDEX($B$6:$B$305,MATCH($C93,$A$6:$A$305,0)),"")="Program",0,1),1)))))</f>
        <v/>
      </c>
      <c r="AD93" s="28">
        <f>IF(AND($A93&lt;&gt;"",OR($M93="■ Red",$M93="◧ Amber"),$L93=""),1,0)</f>
        <v/>
      </c>
      <c r="AE93" s="28">
        <f>$AA93+$AB93+IF($AC93&gt;0,1,0)+$AD93+$AG93+$AH93</f>
        <v/>
      </c>
      <c r="AF93" s="25" t="n"/>
      <c r="AG93" s="28">
        <f>IF(AND($A93&lt;&gt;"",$K93&lt;&gt;"",$C93&lt;&gt;"Portfolio",$D93&lt;&gt;"Completed",$D93&lt;&gt;"Terminated"),1,0)</f>
        <v/>
      </c>
      <c r="AH93" s="28">
        <f>IF(AND($A93&lt;&gt;"",COUNTIF($A$6:$A$305,$A93)&gt;1),1,0)</f>
        <v/>
      </c>
      <c r="AI93" s="28">
        <f>IF(AND($A93&lt;&gt;"",$C93="Portfolio"),COUNTIFS($C$6:$C93,"Portfolio",$A$6:$A93,"&lt;&gt;"),"")</f>
        <v/>
      </c>
    </row>
    <row r="94">
      <c r="A94" s="25" t="n"/>
      <c r="B94" s="25" t="n"/>
      <c r="C94" s="25" t="n"/>
      <c r="D94" s="25" t="n"/>
      <c r="E94" s="25" t="n"/>
      <c r="F94" s="25" t="n"/>
      <c r="G94" s="25" t="n"/>
      <c r="H94" s="26" t="n"/>
      <c r="I94" s="26" t="n"/>
      <c r="J94" s="27" t="n"/>
      <c r="K94" s="27" t="n"/>
      <c r="L94" s="23" t="n"/>
      <c r="M94" s="28">
        <f>IF($A94="","",IF($D94="","Not read",IF($Q94=0,"Not counted",IF(MAX($X94,$Y94)=3,"■ Red",IF(MAX($X94,$Y94)=2,"◧ Amber",IF(MAX($X94,$Y94)=1,"□ On track","Not read"))))))</f>
        <v/>
      </c>
      <c r="N94" s="28">
        <f>IF(OR($A94="",$B94&lt;&gt;"Program"),"","■ "&amp;COUNTIFS($C$6:$C$305,$A94,$M$6:$M$305,"■ Red")&amp;" Red, ◧ "&amp;COUNTIFS($C$6:$C$305,$A94,$M$6:$M$305,"◧ Amber")&amp;" Amber")</f>
        <v/>
      </c>
      <c r="O94" s="29">
        <f>IF(OR($A94="",$E94=""),"",COUNTIFS($E$6:$E$305,$E94,$D$6:$D$305,"Active")+COUNTIFS($E$6:$E$305,$E94,$D$6:$D$305,"Paused"))</f>
        <v/>
      </c>
      <c r="P94" s="28">
        <f>IF($A94="","",IF($AE94=0,"○ Clear",IF($AA94=1,"△ No owner",IF($AC94=1,"△ Check Sits under",IF($AC94=2,"△ Outside the portfolio",IF($AB94=1,"△ No sponsor",IF($AH94=1,"△ Name used twice",IF($AG94=1,"△ Budget only counts under Portfolio","△ No variance note"))))))&amp;IF($AE94&gt;1," (+"&amp;($AE94-1)&amp;" more)","")))</f>
        <v/>
      </c>
      <c r="Q94" s="28">
        <f>IF(AND($A94&lt;&gt;"",OR($D94="Active",$D94="Paused")),1,0)</f>
        <v/>
      </c>
      <c r="R94" s="28">
        <f>IFERROR(INDEX($A$6:$A$305,MATCH(87,$S$6:$S$305,0)),"")</f>
        <v/>
      </c>
      <c r="S94" s="28">
        <f>IF(AND($A94&lt;&gt;"",$B94="Program"),COUNTIFS($B$6:$B94,"Program",$A$6:$A94,"&lt;&gt;"),"")</f>
        <v/>
      </c>
      <c r="T94" s="30">
        <f>IF(AND($A94&lt;&gt;"",$B94="Program"),SUMPRODUCT(MAX(($C$6:$C$305=$A94)*($B$6:$B$305="Project")*($D$6:$D$305&lt;&gt;"Proposed")*$I$6:$I$305)),0)</f>
        <v/>
      </c>
      <c r="U94" s="30">
        <f>IF($I94&lt;&gt;"",$I94,IF($T94&gt;0,$T94,""))</f>
        <v/>
      </c>
      <c r="V94" s="28">
        <f>IF(AND($A94&lt;&gt;"",$B94="Program"),SUMIFS($J$6:$J$305,$C$6:$C$305,$A94,$B$6:$B$305,"Project",$D$6:$D$305,"&lt;&gt;Proposed"),0)</f>
        <v/>
      </c>
      <c r="W94" s="28">
        <f>IF(AND($A94&lt;&gt;"",$B94="Program"),COUNTIFS($C$6:$C$305,$A94,$B$6:$B$305,"Project",$D$6:$D$305,"&lt;&gt;Proposed")-COUNTIFS($C$6:$C$305,$A94,$B$6:$B$305,"Project",$D$6:$D$305,"&lt;&gt;Proposed",$J$6:$J$305,"&gt;=0"),0)</f>
        <v/>
      </c>
      <c r="X94" s="28">
        <f>IF(OR($Q94=0,$H94="",$AF94="Sprint"),0,IF(AND($B94="Project",$H94&lt;TODAY()),3,IF($U94="",0,IF($U94&lt;=$H94,1,IF(NETWORKDAYS($H94,$U94)-1&gt;IF($B94="Program",Checks!$B$7,Checks!$B$6),3,2)))))</f>
        <v/>
      </c>
      <c r="Y94" s="28">
        <f>IF(OR($Q94=0,$K94="",$K94=0,$AF94="Sprint"),0,IF(AND($B94="Project",$J94=""),0,IF(IF($B94="Program",$V94,$J94)&gt;$K94*(1+Checks!$B$8),3,IF(IF($B94="Program",$V94,$J94)&gt;$K94,2,IF(AND($B94="Program",OR($W94&gt;0,$V94=0)),0,1)))))</f>
        <v/>
      </c>
      <c r="Z94" s="28">
        <f>IF($A94="",0,IF($C94="Portfolio",1,IF(AND($B94="Project",$C94&lt;&gt;"",$C94&lt;&gt;"Outside the portfolio"),IFERROR(IF(AND(INDEX($B$6:$B$305,MATCH($C94,$A$6:$A$305,0))="Program",INDEX($C$6:$C$305,MATCH($C94,$A$6:$A$305,0))="Portfolio"),1,0),0),0)))</f>
        <v/>
      </c>
      <c r="AA94" s="28">
        <f>IF(AND($A94&lt;&gt;"",$E94="",OR($Q94=1,$D94="Proposed")),1,0)</f>
        <v/>
      </c>
      <c r="AB94" s="28">
        <f>IF(AND($A94&lt;&gt;"",$B94="Program",$F94="",$Q94=1),1,0)</f>
        <v/>
      </c>
      <c r="AC94" s="28">
        <f>IF(OR($A94="",$D94="Completed",$D94="Terminated"),0,IF($C94="",1,IF($C94="Portfolio",0,IF($C94="Outside the portfolio",IF($Q94=1,2,0),IF($B94="Project",IF(IFERROR(INDEX($B$6:$B$305,MATCH($C94,$A$6:$A$305,0)),"")="Program",0,1),1)))))</f>
        <v/>
      </c>
      <c r="AD94" s="28">
        <f>IF(AND($A94&lt;&gt;"",OR($M94="■ Red",$M94="◧ Amber"),$L94=""),1,0)</f>
        <v/>
      </c>
      <c r="AE94" s="28">
        <f>$AA94+$AB94+IF($AC94&gt;0,1,0)+$AD94+$AG94+$AH94</f>
        <v/>
      </c>
      <c r="AF94" s="25" t="n"/>
      <c r="AG94" s="28">
        <f>IF(AND($A94&lt;&gt;"",$K94&lt;&gt;"",$C94&lt;&gt;"Portfolio",$D94&lt;&gt;"Completed",$D94&lt;&gt;"Terminated"),1,0)</f>
        <v/>
      </c>
      <c r="AH94" s="28">
        <f>IF(AND($A94&lt;&gt;"",COUNTIF($A$6:$A$305,$A94)&gt;1),1,0)</f>
        <v/>
      </c>
      <c r="AI94" s="28">
        <f>IF(AND($A94&lt;&gt;"",$C94="Portfolio"),COUNTIFS($C$6:$C94,"Portfolio",$A$6:$A94,"&lt;&gt;"),"")</f>
        <v/>
      </c>
    </row>
    <row r="95">
      <c r="A95" s="25" t="n"/>
      <c r="B95" s="25" t="n"/>
      <c r="C95" s="25" t="n"/>
      <c r="D95" s="25" t="n"/>
      <c r="E95" s="25" t="n"/>
      <c r="F95" s="25" t="n"/>
      <c r="G95" s="25" t="n"/>
      <c r="H95" s="26" t="n"/>
      <c r="I95" s="26" t="n"/>
      <c r="J95" s="27" t="n"/>
      <c r="K95" s="27" t="n"/>
      <c r="L95" s="23" t="n"/>
      <c r="M95" s="28">
        <f>IF($A95="","",IF($D95="","Not read",IF($Q95=0,"Not counted",IF(MAX($X95,$Y95)=3,"■ Red",IF(MAX($X95,$Y95)=2,"◧ Amber",IF(MAX($X95,$Y95)=1,"□ On track","Not read"))))))</f>
        <v/>
      </c>
      <c r="N95" s="28">
        <f>IF(OR($A95="",$B95&lt;&gt;"Program"),"","■ "&amp;COUNTIFS($C$6:$C$305,$A95,$M$6:$M$305,"■ Red")&amp;" Red, ◧ "&amp;COUNTIFS($C$6:$C$305,$A95,$M$6:$M$305,"◧ Amber")&amp;" Amber")</f>
        <v/>
      </c>
      <c r="O95" s="29">
        <f>IF(OR($A95="",$E95=""),"",COUNTIFS($E$6:$E$305,$E95,$D$6:$D$305,"Active")+COUNTIFS($E$6:$E$305,$E95,$D$6:$D$305,"Paused"))</f>
        <v/>
      </c>
      <c r="P95" s="28">
        <f>IF($A95="","",IF($AE95=0,"○ Clear",IF($AA95=1,"△ No owner",IF($AC95=1,"△ Check Sits under",IF($AC95=2,"△ Outside the portfolio",IF($AB95=1,"△ No sponsor",IF($AH95=1,"△ Name used twice",IF($AG95=1,"△ Budget only counts under Portfolio","△ No variance note"))))))&amp;IF($AE95&gt;1," (+"&amp;($AE95-1)&amp;" more)","")))</f>
        <v/>
      </c>
      <c r="Q95" s="28">
        <f>IF(AND($A95&lt;&gt;"",OR($D95="Active",$D95="Paused")),1,0)</f>
        <v/>
      </c>
      <c r="R95" s="28">
        <f>IFERROR(INDEX($A$6:$A$305,MATCH(88,$S$6:$S$305,0)),"")</f>
        <v/>
      </c>
      <c r="S95" s="28">
        <f>IF(AND($A95&lt;&gt;"",$B95="Program"),COUNTIFS($B$6:$B95,"Program",$A$6:$A95,"&lt;&gt;"),"")</f>
        <v/>
      </c>
      <c r="T95" s="30">
        <f>IF(AND($A95&lt;&gt;"",$B95="Program"),SUMPRODUCT(MAX(($C$6:$C$305=$A95)*($B$6:$B$305="Project")*($D$6:$D$305&lt;&gt;"Proposed")*$I$6:$I$305)),0)</f>
        <v/>
      </c>
      <c r="U95" s="30">
        <f>IF($I95&lt;&gt;"",$I95,IF($T95&gt;0,$T95,""))</f>
        <v/>
      </c>
      <c r="V95" s="28">
        <f>IF(AND($A95&lt;&gt;"",$B95="Program"),SUMIFS($J$6:$J$305,$C$6:$C$305,$A95,$B$6:$B$305,"Project",$D$6:$D$305,"&lt;&gt;Proposed"),0)</f>
        <v/>
      </c>
      <c r="W95" s="28">
        <f>IF(AND($A95&lt;&gt;"",$B95="Program"),COUNTIFS($C$6:$C$305,$A95,$B$6:$B$305,"Project",$D$6:$D$305,"&lt;&gt;Proposed")-COUNTIFS($C$6:$C$305,$A95,$B$6:$B$305,"Project",$D$6:$D$305,"&lt;&gt;Proposed",$J$6:$J$305,"&gt;=0"),0)</f>
        <v/>
      </c>
      <c r="X95" s="28">
        <f>IF(OR($Q95=0,$H95="",$AF95="Sprint"),0,IF(AND($B95="Project",$H95&lt;TODAY()),3,IF($U95="",0,IF($U95&lt;=$H95,1,IF(NETWORKDAYS($H95,$U95)-1&gt;IF($B95="Program",Checks!$B$7,Checks!$B$6),3,2)))))</f>
        <v/>
      </c>
      <c r="Y95" s="28">
        <f>IF(OR($Q95=0,$K95="",$K95=0,$AF95="Sprint"),0,IF(AND($B95="Project",$J95=""),0,IF(IF($B95="Program",$V95,$J95)&gt;$K95*(1+Checks!$B$8),3,IF(IF($B95="Program",$V95,$J95)&gt;$K95,2,IF(AND($B95="Program",OR($W95&gt;0,$V95=0)),0,1)))))</f>
        <v/>
      </c>
      <c r="Z95" s="28">
        <f>IF($A95="",0,IF($C95="Portfolio",1,IF(AND($B95="Project",$C95&lt;&gt;"",$C95&lt;&gt;"Outside the portfolio"),IFERROR(IF(AND(INDEX($B$6:$B$305,MATCH($C95,$A$6:$A$305,0))="Program",INDEX($C$6:$C$305,MATCH($C95,$A$6:$A$305,0))="Portfolio"),1,0),0),0)))</f>
        <v/>
      </c>
      <c r="AA95" s="28">
        <f>IF(AND($A95&lt;&gt;"",$E95="",OR($Q95=1,$D95="Proposed")),1,0)</f>
        <v/>
      </c>
      <c r="AB95" s="28">
        <f>IF(AND($A95&lt;&gt;"",$B95="Program",$F95="",$Q95=1),1,0)</f>
        <v/>
      </c>
      <c r="AC95" s="28">
        <f>IF(OR($A95="",$D95="Completed",$D95="Terminated"),0,IF($C95="",1,IF($C95="Portfolio",0,IF($C95="Outside the portfolio",IF($Q95=1,2,0),IF($B95="Project",IF(IFERROR(INDEX($B$6:$B$305,MATCH($C95,$A$6:$A$305,0)),"")="Program",0,1),1)))))</f>
        <v/>
      </c>
      <c r="AD95" s="28">
        <f>IF(AND($A95&lt;&gt;"",OR($M95="■ Red",$M95="◧ Amber"),$L95=""),1,0)</f>
        <v/>
      </c>
      <c r="AE95" s="28">
        <f>$AA95+$AB95+IF($AC95&gt;0,1,0)+$AD95+$AG95+$AH95</f>
        <v/>
      </c>
      <c r="AF95" s="25" t="n"/>
      <c r="AG95" s="28">
        <f>IF(AND($A95&lt;&gt;"",$K95&lt;&gt;"",$C95&lt;&gt;"Portfolio",$D95&lt;&gt;"Completed",$D95&lt;&gt;"Terminated"),1,0)</f>
        <v/>
      </c>
      <c r="AH95" s="28">
        <f>IF(AND($A95&lt;&gt;"",COUNTIF($A$6:$A$305,$A95)&gt;1),1,0)</f>
        <v/>
      </c>
      <c r="AI95" s="28">
        <f>IF(AND($A95&lt;&gt;"",$C95="Portfolio"),COUNTIFS($C$6:$C95,"Portfolio",$A$6:$A95,"&lt;&gt;"),"")</f>
        <v/>
      </c>
    </row>
    <row r="96">
      <c r="A96" s="25" t="n"/>
      <c r="B96" s="25" t="n"/>
      <c r="C96" s="25" t="n"/>
      <c r="D96" s="25" t="n"/>
      <c r="E96" s="25" t="n"/>
      <c r="F96" s="25" t="n"/>
      <c r="G96" s="25" t="n"/>
      <c r="H96" s="26" t="n"/>
      <c r="I96" s="26" t="n"/>
      <c r="J96" s="27" t="n"/>
      <c r="K96" s="27" t="n"/>
      <c r="L96" s="23" t="n"/>
      <c r="M96" s="28">
        <f>IF($A96="","",IF($D96="","Not read",IF($Q96=0,"Not counted",IF(MAX($X96,$Y96)=3,"■ Red",IF(MAX($X96,$Y96)=2,"◧ Amber",IF(MAX($X96,$Y96)=1,"□ On track","Not read"))))))</f>
        <v/>
      </c>
      <c r="N96" s="28">
        <f>IF(OR($A96="",$B96&lt;&gt;"Program"),"","■ "&amp;COUNTIFS($C$6:$C$305,$A96,$M$6:$M$305,"■ Red")&amp;" Red, ◧ "&amp;COUNTIFS($C$6:$C$305,$A96,$M$6:$M$305,"◧ Amber")&amp;" Amber")</f>
        <v/>
      </c>
      <c r="O96" s="29">
        <f>IF(OR($A96="",$E96=""),"",COUNTIFS($E$6:$E$305,$E96,$D$6:$D$305,"Active")+COUNTIFS($E$6:$E$305,$E96,$D$6:$D$305,"Paused"))</f>
        <v/>
      </c>
      <c r="P96" s="28">
        <f>IF($A96="","",IF($AE96=0,"○ Clear",IF($AA96=1,"△ No owner",IF($AC96=1,"△ Check Sits under",IF($AC96=2,"△ Outside the portfolio",IF($AB96=1,"△ No sponsor",IF($AH96=1,"△ Name used twice",IF($AG96=1,"△ Budget only counts under Portfolio","△ No variance note"))))))&amp;IF($AE96&gt;1," (+"&amp;($AE96-1)&amp;" more)","")))</f>
        <v/>
      </c>
      <c r="Q96" s="28">
        <f>IF(AND($A96&lt;&gt;"",OR($D96="Active",$D96="Paused")),1,0)</f>
        <v/>
      </c>
      <c r="R96" s="28">
        <f>IFERROR(INDEX($A$6:$A$305,MATCH(89,$S$6:$S$305,0)),"")</f>
        <v/>
      </c>
      <c r="S96" s="28">
        <f>IF(AND($A96&lt;&gt;"",$B96="Program"),COUNTIFS($B$6:$B96,"Program",$A$6:$A96,"&lt;&gt;"),"")</f>
        <v/>
      </c>
      <c r="T96" s="30">
        <f>IF(AND($A96&lt;&gt;"",$B96="Program"),SUMPRODUCT(MAX(($C$6:$C$305=$A96)*($B$6:$B$305="Project")*($D$6:$D$305&lt;&gt;"Proposed")*$I$6:$I$305)),0)</f>
        <v/>
      </c>
      <c r="U96" s="30">
        <f>IF($I96&lt;&gt;"",$I96,IF($T96&gt;0,$T96,""))</f>
        <v/>
      </c>
      <c r="V96" s="28">
        <f>IF(AND($A96&lt;&gt;"",$B96="Program"),SUMIFS($J$6:$J$305,$C$6:$C$305,$A96,$B$6:$B$305,"Project",$D$6:$D$305,"&lt;&gt;Proposed"),0)</f>
        <v/>
      </c>
      <c r="W96" s="28">
        <f>IF(AND($A96&lt;&gt;"",$B96="Program"),COUNTIFS($C$6:$C$305,$A96,$B$6:$B$305,"Project",$D$6:$D$305,"&lt;&gt;Proposed")-COUNTIFS($C$6:$C$305,$A96,$B$6:$B$305,"Project",$D$6:$D$305,"&lt;&gt;Proposed",$J$6:$J$305,"&gt;=0"),0)</f>
        <v/>
      </c>
      <c r="X96" s="28">
        <f>IF(OR($Q96=0,$H96="",$AF96="Sprint"),0,IF(AND($B96="Project",$H96&lt;TODAY()),3,IF($U96="",0,IF($U96&lt;=$H96,1,IF(NETWORKDAYS($H96,$U96)-1&gt;IF($B96="Program",Checks!$B$7,Checks!$B$6),3,2)))))</f>
        <v/>
      </c>
      <c r="Y96" s="28">
        <f>IF(OR($Q96=0,$K96="",$K96=0,$AF96="Sprint"),0,IF(AND($B96="Project",$J96=""),0,IF(IF($B96="Program",$V96,$J96)&gt;$K96*(1+Checks!$B$8),3,IF(IF($B96="Program",$V96,$J96)&gt;$K96,2,IF(AND($B96="Program",OR($W96&gt;0,$V96=0)),0,1)))))</f>
        <v/>
      </c>
      <c r="Z96" s="28">
        <f>IF($A96="",0,IF($C96="Portfolio",1,IF(AND($B96="Project",$C96&lt;&gt;"",$C96&lt;&gt;"Outside the portfolio"),IFERROR(IF(AND(INDEX($B$6:$B$305,MATCH($C96,$A$6:$A$305,0))="Program",INDEX($C$6:$C$305,MATCH($C96,$A$6:$A$305,0))="Portfolio"),1,0),0),0)))</f>
        <v/>
      </c>
      <c r="AA96" s="28">
        <f>IF(AND($A96&lt;&gt;"",$E96="",OR($Q96=1,$D96="Proposed")),1,0)</f>
        <v/>
      </c>
      <c r="AB96" s="28">
        <f>IF(AND($A96&lt;&gt;"",$B96="Program",$F96="",$Q96=1),1,0)</f>
        <v/>
      </c>
      <c r="AC96" s="28">
        <f>IF(OR($A96="",$D96="Completed",$D96="Terminated"),0,IF($C96="",1,IF($C96="Portfolio",0,IF($C96="Outside the portfolio",IF($Q96=1,2,0),IF($B96="Project",IF(IFERROR(INDEX($B$6:$B$305,MATCH($C96,$A$6:$A$305,0)),"")="Program",0,1),1)))))</f>
        <v/>
      </c>
      <c r="AD96" s="28">
        <f>IF(AND($A96&lt;&gt;"",OR($M96="■ Red",$M96="◧ Amber"),$L96=""),1,0)</f>
        <v/>
      </c>
      <c r="AE96" s="28">
        <f>$AA96+$AB96+IF($AC96&gt;0,1,0)+$AD96+$AG96+$AH96</f>
        <v/>
      </c>
      <c r="AF96" s="25" t="n"/>
      <c r="AG96" s="28">
        <f>IF(AND($A96&lt;&gt;"",$K96&lt;&gt;"",$C96&lt;&gt;"Portfolio",$D96&lt;&gt;"Completed",$D96&lt;&gt;"Terminated"),1,0)</f>
        <v/>
      </c>
      <c r="AH96" s="28">
        <f>IF(AND($A96&lt;&gt;"",COUNTIF($A$6:$A$305,$A96)&gt;1),1,0)</f>
        <v/>
      </c>
      <c r="AI96" s="28">
        <f>IF(AND($A96&lt;&gt;"",$C96="Portfolio"),COUNTIFS($C$6:$C96,"Portfolio",$A$6:$A96,"&lt;&gt;"),"")</f>
        <v/>
      </c>
    </row>
    <row r="97">
      <c r="A97" s="25" t="n"/>
      <c r="B97" s="25" t="n"/>
      <c r="C97" s="25" t="n"/>
      <c r="D97" s="25" t="n"/>
      <c r="E97" s="25" t="n"/>
      <c r="F97" s="25" t="n"/>
      <c r="G97" s="25" t="n"/>
      <c r="H97" s="26" t="n"/>
      <c r="I97" s="26" t="n"/>
      <c r="J97" s="27" t="n"/>
      <c r="K97" s="27" t="n"/>
      <c r="L97" s="23" t="n"/>
      <c r="M97" s="28">
        <f>IF($A97="","",IF($D97="","Not read",IF($Q97=0,"Not counted",IF(MAX($X97,$Y97)=3,"■ Red",IF(MAX($X97,$Y97)=2,"◧ Amber",IF(MAX($X97,$Y97)=1,"□ On track","Not read"))))))</f>
        <v/>
      </c>
      <c r="N97" s="28">
        <f>IF(OR($A97="",$B97&lt;&gt;"Program"),"","■ "&amp;COUNTIFS($C$6:$C$305,$A97,$M$6:$M$305,"■ Red")&amp;" Red, ◧ "&amp;COUNTIFS($C$6:$C$305,$A97,$M$6:$M$305,"◧ Amber")&amp;" Amber")</f>
        <v/>
      </c>
      <c r="O97" s="29">
        <f>IF(OR($A97="",$E97=""),"",COUNTIFS($E$6:$E$305,$E97,$D$6:$D$305,"Active")+COUNTIFS($E$6:$E$305,$E97,$D$6:$D$305,"Paused"))</f>
        <v/>
      </c>
      <c r="P97" s="28">
        <f>IF($A97="","",IF($AE97=0,"○ Clear",IF($AA97=1,"△ No owner",IF($AC97=1,"△ Check Sits under",IF($AC97=2,"△ Outside the portfolio",IF($AB97=1,"△ No sponsor",IF($AH97=1,"△ Name used twice",IF($AG97=1,"△ Budget only counts under Portfolio","△ No variance note"))))))&amp;IF($AE97&gt;1," (+"&amp;($AE97-1)&amp;" more)","")))</f>
        <v/>
      </c>
      <c r="Q97" s="28">
        <f>IF(AND($A97&lt;&gt;"",OR($D97="Active",$D97="Paused")),1,0)</f>
        <v/>
      </c>
      <c r="R97" s="28">
        <f>IFERROR(INDEX($A$6:$A$305,MATCH(90,$S$6:$S$305,0)),"")</f>
        <v/>
      </c>
      <c r="S97" s="28">
        <f>IF(AND($A97&lt;&gt;"",$B97="Program"),COUNTIFS($B$6:$B97,"Program",$A$6:$A97,"&lt;&gt;"),"")</f>
        <v/>
      </c>
      <c r="T97" s="30">
        <f>IF(AND($A97&lt;&gt;"",$B97="Program"),SUMPRODUCT(MAX(($C$6:$C$305=$A97)*($B$6:$B$305="Project")*($D$6:$D$305&lt;&gt;"Proposed")*$I$6:$I$305)),0)</f>
        <v/>
      </c>
      <c r="U97" s="30">
        <f>IF($I97&lt;&gt;"",$I97,IF($T97&gt;0,$T97,""))</f>
        <v/>
      </c>
      <c r="V97" s="28">
        <f>IF(AND($A97&lt;&gt;"",$B97="Program"),SUMIFS($J$6:$J$305,$C$6:$C$305,$A97,$B$6:$B$305,"Project",$D$6:$D$305,"&lt;&gt;Proposed"),0)</f>
        <v/>
      </c>
      <c r="W97" s="28">
        <f>IF(AND($A97&lt;&gt;"",$B97="Program"),COUNTIFS($C$6:$C$305,$A97,$B$6:$B$305,"Project",$D$6:$D$305,"&lt;&gt;Proposed")-COUNTIFS($C$6:$C$305,$A97,$B$6:$B$305,"Project",$D$6:$D$305,"&lt;&gt;Proposed",$J$6:$J$305,"&gt;=0"),0)</f>
        <v/>
      </c>
      <c r="X97" s="28">
        <f>IF(OR($Q97=0,$H97="",$AF97="Sprint"),0,IF(AND($B97="Project",$H97&lt;TODAY()),3,IF($U97="",0,IF($U97&lt;=$H97,1,IF(NETWORKDAYS($H97,$U97)-1&gt;IF($B97="Program",Checks!$B$7,Checks!$B$6),3,2)))))</f>
        <v/>
      </c>
      <c r="Y97" s="28">
        <f>IF(OR($Q97=0,$K97="",$K97=0,$AF97="Sprint"),0,IF(AND($B97="Project",$J97=""),0,IF(IF($B97="Program",$V97,$J97)&gt;$K97*(1+Checks!$B$8),3,IF(IF($B97="Program",$V97,$J97)&gt;$K97,2,IF(AND($B97="Program",OR($W97&gt;0,$V97=0)),0,1)))))</f>
        <v/>
      </c>
      <c r="Z97" s="28">
        <f>IF($A97="",0,IF($C97="Portfolio",1,IF(AND($B97="Project",$C97&lt;&gt;"",$C97&lt;&gt;"Outside the portfolio"),IFERROR(IF(AND(INDEX($B$6:$B$305,MATCH($C97,$A$6:$A$305,0))="Program",INDEX($C$6:$C$305,MATCH($C97,$A$6:$A$305,0))="Portfolio"),1,0),0),0)))</f>
        <v/>
      </c>
      <c r="AA97" s="28">
        <f>IF(AND($A97&lt;&gt;"",$E97="",OR($Q97=1,$D97="Proposed")),1,0)</f>
        <v/>
      </c>
      <c r="AB97" s="28">
        <f>IF(AND($A97&lt;&gt;"",$B97="Program",$F97="",$Q97=1),1,0)</f>
        <v/>
      </c>
      <c r="AC97" s="28">
        <f>IF(OR($A97="",$D97="Completed",$D97="Terminated"),0,IF($C97="",1,IF($C97="Portfolio",0,IF($C97="Outside the portfolio",IF($Q97=1,2,0),IF($B97="Project",IF(IFERROR(INDEX($B$6:$B$305,MATCH($C97,$A$6:$A$305,0)),"")="Program",0,1),1)))))</f>
        <v/>
      </c>
      <c r="AD97" s="28">
        <f>IF(AND($A97&lt;&gt;"",OR($M97="■ Red",$M97="◧ Amber"),$L97=""),1,0)</f>
        <v/>
      </c>
      <c r="AE97" s="28">
        <f>$AA97+$AB97+IF($AC97&gt;0,1,0)+$AD97+$AG97+$AH97</f>
        <v/>
      </c>
      <c r="AF97" s="25" t="n"/>
      <c r="AG97" s="28">
        <f>IF(AND($A97&lt;&gt;"",$K97&lt;&gt;"",$C97&lt;&gt;"Portfolio",$D97&lt;&gt;"Completed",$D97&lt;&gt;"Terminated"),1,0)</f>
        <v/>
      </c>
      <c r="AH97" s="28">
        <f>IF(AND($A97&lt;&gt;"",COUNTIF($A$6:$A$305,$A97)&gt;1),1,0)</f>
        <v/>
      </c>
      <c r="AI97" s="28">
        <f>IF(AND($A97&lt;&gt;"",$C97="Portfolio"),COUNTIFS($C$6:$C97,"Portfolio",$A$6:$A97,"&lt;&gt;"),"")</f>
        <v/>
      </c>
    </row>
    <row r="98">
      <c r="A98" s="25" t="n"/>
      <c r="B98" s="25" t="n"/>
      <c r="C98" s="25" t="n"/>
      <c r="D98" s="25" t="n"/>
      <c r="E98" s="25" t="n"/>
      <c r="F98" s="25" t="n"/>
      <c r="G98" s="25" t="n"/>
      <c r="H98" s="26" t="n"/>
      <c r="I98" s="26" t="n"/>
      <c r="J98" s="27" t="n"/>
      <c r="K98" s="27" t="n"/>
      <c r="L98" s="23" t="n"/>
      <c r="M98" s="28">
        <f>IF($A98="","",IF($D98="","Not read",IF($Q98=0,"Not counted",IF(MAX($X98,$Y98)=3,"■ Red",IF(MAX($X98,$Y98)=2,"◧ Amber",IF(MAX($X98,$Y98)=1,"□ On track","Not read"))))))</f>
        <v/>
      </c>
      <c r="N98" s="28">
        <f>IF(OR($A98="",$B98&lt;&gt;"Program"),"","■ "&amp;COUNTIFS($C$6:$C$305,$A98,$M$6:$M$305,"■ Red")&amp;" Red, ◧ "&amp;COUNTIFS($C$6:$C$305,$A98,$M$6:$M$305,"◧ Amber")&amp;" Amber")</f>
        <v/>
      </c>
      <c r="O98" s="29">
        <f>IF(OR($A98="",$E98=""),"",COUNTIFS($E$6:$E$305,$E98,$D$6:$D$305,"Active")+COUNTIFS($E$6:$E$305,$E98,$D$6:$D$305,"Paused"))</f>
        <v/>
      </c>
      <c r="P98" s="28">
        <f>IF($A98="","",IF($AE98=0,"○ Clear",IF($AA98=1,"△ No owner",IF($AC98=1,"△ Check Sits under",IF($AC98=2,"△ Outside the portfolio",IF($AB98=1,"△ No sponsor",IF($AH98=1,"△ Name used twice",IF($AG98=1,"△ Budget only counts under Portfolio","△ No variance note"))))))&amp;IF($AE98&gt;1," (+"&amp;($AE98-1)&amp;" more)","")))</f>
        <v/>
      </c>
      <c r="Q98" s="28">
        <f>IF(AND($A98&lt;&gt;"",OR($D98="Active",$D98="Paused")),1,0)</f>
        <v/>
      </c>
      <c r="R98" s="28">
        <f>IFERROR(INDEX($A$6:$A$305,MATCH(91,$S$6:$S$305,0)),"")</f>
        <v/>
      </c>
      <c r="S98" s="28">
        <f>IF(AND($A98&lt;&gt;"",$B98="Program"),COUNTIFS($B$6:$B98,"Program",$A$6:$A98,"&lt;&gt;"),"")</f>
        <v/>
      </c>
      <c r="T98" s="30">
        <f>IF(AND($A98&lt;&gt;"",$B98="Program"),SUMPRODUCT(MAX(($C$6:$C$305=$A98)*($B$6:$B$305="Project")*($D$6:$D$305&lt;&gt;"Proposed")*$I$6:$I$305)),0)</f>
        <v/>
      </c>
      <c r="U98" s="30">
        <f>IF($I98&lt;&gt;"",$I98,IF($T98&gt;0,$T98,""))</f>
        <v/>
      </c>
      <c r="V98" s="28">
        <f>IF(AND($A98&lt;&gt;"",$B98="Program"),SUMIFS($J$6:$J$305,$C$6:$C$305,$A98,$B$6:$B$305,"Project",$D$6:$D$305,"&lt;&gt;Proposed"),0)</f>
        <v/>
      </c>
      <c r="W98" s="28">
        <f>IF(AND($A98&lt;&gt;"",$B98="Program"),COUNTIFS($C$6:$C$305,$A98,$B$6:$B$305,"Project",$D$6:$D$305,"&lt;&gt;Proposed")-COUNTIFS($C$6:$C$305,$A98,$B$6:$B$305,"Project",$D$6:$D$305,"&lt;&gt;Proposed",$J$6:$J$305,"&gt;=0"),0)</f>
        <v/>
      </c>
      <c r="X98" s="28">
        <f>IF(OR($Q98=0,$H98="",$AF98="Sprint"),0,IF(AND($B98="Project",$H98&lt;TODAY()),3,IF($U98="",0,IF($U98&lt;=$H98,1,IF(NETWORKDAYS($H98,$U98)-1&gt;IF($B98="Program",Checks!$B$7,Checks!$B$6),3,2)))))</f>
        <v/>
      </c>
      <c r="Y98" s="28">
        <f>IF(OR($Q98=0,$K98="",$K98=0,$AF98="Sprint"),0,IF(AND($B98="Project",$J98=""),0,IF(IF($B98="Program",$V98,$J98)&gt;$K98*(1+Checks!$B$8),3,IF(IF($B98="Program",$V98,$J98)&gt;$K98,2,IF(AND($B98="Program",OR($W98&gt;0,$V98=0)),0,1)))))</f>
        <v/>
      </c>
      <c r="Z98" s="28">
        <f>IF($A98="",0,IF($C98="Portfolio",1,IF(AND($B98="Project",$C98&lt;&gt;"",$C98&lt;&gt;"Outside the portfolio"),IFERROR(IF(AND(INDEX($B$6:$B$305,MATCH($C98,$A$6:$A$305,0))="Program",INDEX($C$6:$C$305,MATCH($C98,$A$6:$A$305,0))="Portfolio"),1,0),0),0)))</f>
        <v/>
      </c>
      <c r="AA98" s="28">
        <f>IF(AND($A98&lt;&gt;"",$E98="",OR($Q98=1,$D98="Proposed")),1,0)</f>
        <v/>
      </c>
      <c r="AB98" s="28">
        <f>IF(AND($A98&lt;&gt;"",$B98="Program",$F98="",$Q98=1),1,0)</f>
        <v/>
      </c>
      <c r="AC98" s="28">
        <f>IF(OR($A98="",$D98="Completed",$D98="Terminated"),0,IF($C98="",1,IF($C98="Portfolio",0,IF($C98="Outside the portfolio",IF($Q98=1,2,0),IF($B98="Project",IF(IFERROR(INDEX($B$6:$B$305,MATCH($C98,$A$6:$A$305,0)),"")="Program",0,1),1)))))</f>
        <v/>
      </c>
      <c r="AD98" s="28">
        <f>IF(AND($A98&lt;&gt;"",OR($M98="■ Red",$M98="◧ Amber"),$L98=""),1,0)</f>
        <v/>
      </c>
      <c r="AE98" s="28">
        <f>$AA98+$AB98+IF($AC98&gt;0,1,0)+$AD98+$AG98+$AH98</f>
        <v/>
      </c>
      <c r="AF98" s="25" t="n"/>
      <c r="AG98" s="28">
        <f>IF(AND($A98&lt;&gt;"",$K98&lt;&gt;"",$C98&lt;&gt;"Portfolio",$D98&lt;&gt;"Completed",$D98&lt;&gt;"Terminated"),1,0)</f>
        <v/>
      </c>
      <c r="AH98" s="28">
        <f>IF(AND($A98&lt;&gt;"",COUNTIF($A$6:$A$305,$A98)&gt;1),1,0)</f>
        <v/>
      </c>
      <c r="AI98" s="28">
        <f>IF(AND($A98&lt;&gt;"",$C98="Portfolio"),COUNTIFS($C$6:$C98,"Portfolio",$A$6:$A98,"&lt;&gt;"),"")</f>
        <v/>
      </c>
    </row>
    <row r="99">
      <c r="A99" s="25" t="n"/>
      <c r="B99" s="25" t="n"/>
      <c r="C99" s="25" t="n"/>
      <c r="D99" s="25" t="n"/>
      <c r="E99" s="25" t="n"/>
      <c r="F99" s="25" t="n"/>
      <c r="G99" s="25" t="n"/>
      <c r="H99" s="26" t="n"/>
      <c r="I99" s="26" t="n"/>
      <c r="J99" s="27" t="n"/>
      <c r="K99" s="27" t="n"/>
      <c r="L99" s="23" t="n"/>
      <c r="M99" s="28">
        <f>IF($A99="","",IF($D99="","Not read",IF($Q99=0,"Not counted",IF(MAX($X99,$Y99)=3,"■ Red",IF(MAX($X99,$Y99)=2,"◧ Amber",IF(MAX($X99,$Y99)=1,"□ On track","Not read"))))))</f>
        <v/>
      </c>
      <c r="N99" s="28">
        <f>IF(OR($A99="",$B99&lt;&gt;"Program"),"","■ "&amp;COUNTIFS($C$6:$C$305,$A99,$M$6:$M$305,"■ Red")&amp;" Red, ◧ "&amp;COUNTIFS($C$6:$C$305,$A99,$M$6:$M$305,"◧ Amber")&amp;" Amber")</f>
        <v/>
      </c>
      <c r="O99" s="29">
        <f>IF(OR($A99="",$E99=""),"",COUNTIFS($E$6:$E$305,$E99,$D$6:$D$305,"Active")+COUNTIFS($E$6:$E$305,$E99,$D$6:$D$305,"Paused"))</f>
        <v/>
      </c>
      <c r="P99" s="28">
        <f>IF($A99="","",IF($AE99=0,"○ Clear",IF($AA99=1,"△ No owner",IF($AC99=1,"△ Check Sits under",IF($AC99=2,"△ Outside the portfolio",IF($AB99=1,"△ No sponsor",IF($AH99=1,"△ Name used twice",IF($AG99=1,"△ Budget only counts under Portfolio","△ No variance note"))))))&amp;IF($AE99&gt;1," (+"&amp;($AE99-1)&amp;" more)","")))</f>
        <v/>
      </c>
      <c r="Q99" s="28">
        <f>IF(AND($A99&lt;&gt;"",OR($D99="Active",$D99="Paused")),1,0)</f>
        <v/>
      </c>
      <c r="R99" s="28">
        <f>IFERROR(INDEX($A$6:$A$305,MATCH(92,$S$6:$S$305,0)),"")</f>
        <v/>
      </c>
      <c r="S99" s="28">
        <f>IF(AND($A99&lt;&gt;"",$B99="Program"),COUNTIFS($B$6:$B99,"Program",$A$6:$A99,"&lt;&gt;"),"")</f>
        <v/>
      </c>
      <c r="T99" s="30">
        <f>IF(AND($A99&lt;&gt;"",$B99="Program"),SUMPRODUCT(MAX(($C$6:$C$305=$A99)*($B$6:$B$305="Project")*($D$6:$D$305&lt;&gt;"Proposed")*$I$6:$I$305)),0)</f>
        <v/>
      </c>
      <c r="U99" s="30">
        <f>IF($I99&lt;&gt;"",$I99,IF($T99&gt;0,$T99,""))</f>
        <v/>
      </c>
      <c r="V99" s="28">
        <f>IF(AND($A99&lt;&gt;"",$B99="Program"),SUMIFS($J$6:$J$305,$C$6:$C$305,$A99,$B$6:$B$305,"Project",$D$6:$D$305,"&lt;&gt;Proposed"),0)</f>
        <v/>
      </c>
      <c r="W99" s="28">
        <f>IF(AND($A99&lt;&gt;"",$B99="Program"),COUNTIFS($C$6:$C$305,$A99,$B$6:$B$305,"Project",$D$6:$D$305,"&lt;&gt;Proposed")-COUNTIFS($C$6:$C$305,$A99,$B$6:$B$305,"Project",$D$6:$D$305,"&lt;&gt;Proposed",$J$6:$J$305,"&gt;=0"),0)</f>
        <v/>
      </c>
      <c r="X99" s="28">
        <f>IF(OR($Q99=0,$H99="",$AF99="Sprint"),0,IF(AND($B99="Project",$H99&lt;TODAY()),3,IF($U99="",0,IF($U99&lt;=$H99,1,IF(NETWORKDAYS($H99,$U99)-1&gt;IF($B99="Program",Checks!$B$7,Checks!$B$6),3,2)))))</f>
        <v/>
      </c>
      <c r="Y99" s="28">
        <f>IF(OR($Q99=0,$K99="",$K99=0,$AF99="Sprint"),0,IF(AND($B99="Project",$J99=""),0,IF(IF($B99="Program",$V99,$J99)&gt;$K99*(1+Checks!$B$8),3,IF(IF($B99="Program",$V99,$J99)&gt;$K99,2,IF(AND($B99="Program",OR($W99&gt;0,$V99=0)),0,1)))))</f>
        <v/>
      </c>
      <c r="Z99" s="28">
        <f>IF($A99="",0,IF($C99="Portfolio",1,IF(AND($B99="Project",$C99&lt;&gt;"",$C99&lt;&gt;"Outside the portfolio"),IFERROR(IF(AND(INDEX($B$6:$B$305,MATCH($C99,$A$6:$A$305,0))="Program",INDEX($C$6:$C$305,MATCH($C99,$A$6:$A$305,0))="Portfolio"),1,0),0),0)))</f>
        <v/>
      </c>
      <c r="AA99" s="28">
        <f>IF(AND($A99&lt;&gt;"",$E99="",OR($Q99=1,$D99="Proposed")),1,0)</f>
        <v/>
      </c>
      <c r="AB99" s="28">
        <f>IF(AND($A99&lt;&gt;"",$B99="Program",$F99="",$Q99=1),1,0)</f>
        <v/>
      </c>
      <c r="AC99" s="28">
        <f>IF(OR($A99="",$D99="Completed",$D99="Terminated"),0,IF($C99="",1,IF($C99="Portfolio",0,IF($C99="Outside the portfolio",IF($Q99=1,2,0),IF($B99="Project",IF(IFERROR(INDEX($B$6:$B$305,MATCH($C99,$A$6:$A$305,0)),"")="Program",0,1),1)))))</f>
        <v/>
      </c>
      <c r="AD99" s="28">
        <f>IF(AND($A99&lt;&gt;"",OR($M99="■ Red",$M99="◧ Amber"),$L99=""),1,0)</f>
        <v/>
      </c>
      <c r="AE99" s="28">
        <f>$AA99+$AB99+IF($AC99&gt;0,1,0)+$AD99+$AG99+$AH99</f>
        <v/>
      </c>
      <c r="AF99" s="25" t="n"/>
      <c r="AG99" s="28">
        <f>IF(AND($A99&lt;&gt;"",$K99&lt;&gt;"",$C99&lt;&gt;"Portfolio",$D99&lt;&gt;"Completed",$D99&lt;&gt;"Terminated"),1,0)</f>
        <v/>
      </c>
      <c r="AH99" s="28">
        <f>IF(AND($A99&lt;&gt;"",COUNTIF($A$6:$A$305,$A99)&gt;1),1,0)</f>
        <v/>
      </c>
      <c r="AI99" s="28">
        <f>IF(AND($A99&lt;&gt;"",$C99="Portfolio"),COUNTIFS($C$6:$C99,"Portfolio",$A$6:$A99,"&lt;&gt;"),"")</f>
        <v/>
      </c>
    </row>
    <row r="100">
      <c r="A100" s="25" t="n"/>
      <c r="B100" s="25" t="n"/>
      <c r="C100" s="25" t="n"/>
      <c r="D100" s="25" t="n"/>
      <c r="E100" s="25" t="n"/>
      <c r="F100" s="25" t="n"/>
      <c r="G100" s="25" t="n"/>
      <c r="H100" s="26" t="n"/>
      <c r="I100" s="26" t="n"/>
      <c r="J100" s="27" t="n"/>
      <c r="K100" s="27" t="n"/>
      <c r="L100" s="23" t="n"/>
      <c r="M100" s="28">
        <f>IF($A100="","",IF($D100="","Not read",IF($Q100=0,"Not counted",IF(MAX($X100,$Y100)=3,"■ Red",IF(MAX($X100,$Y100)=2,"◧ Amber",IF(MAX($X100,$Y100)=1,"□ On track","Not read"))))))</f>
        <v/>
      </c>
      <c r="N100" s="28">
        <f>IF(OR($A100="",$B100&lt;&gt;"Program"),"","■ "&amp;COUNTIFS($C$6:$C$305,$A100,$M$6:$M$305,"■ Red")&amp;" Red, ◧ "&amp;COUNTIFS($C$6:$C$305,$A100,$M$6:$M$305,"◧ Amber")&amp;" Amber")</f>
        <v/>
      </c>
      <c r="O100" s="29">
        <f>IF(OR($A100="",$E100=""),"",COUNTIFS($E$6:$E$305,$E100,$D$6:$D$305,"Active")+COUNTIFS($E$6:$E$305,$E100,$D$6:$D$305,"Paused"))</f>
        <v/>
      </c>
      <c r="P100" s="28">
        <f>IF($A100="","",IF($AE100=0,"○ Clear",IF($AA100=1,"△ No owner",IF($AC100=1,"△ Check Sits under",IF($AC100=2,"△ Outside the portfolio",IF($AB100=1,"△ No sponsor",IF($AH100=1,"△ Name used twice",IF($AG100=1,"△ Budget only counts under Portfolio","△ No variance note"))))))&amp;IF($AE100&gt;1," (+"&amp;($AE100-1)&amp;" more)","")))</f>
        <v/>
      </c>
      <c r="Q100" s="28">
        <f>IF(AND($A100&lt;&gt;"",OR($D100="Active",$D100="Paused")),1,0)</f>
        <v/>
      </c>
      <c r="R100" s="28">
        <f>IFERROR(INDEX($A$6:$A$305,MATCH(93,$S$6:$S$305,0)),"")</f>
        <v/>
      </c>
      <c r="S100" s="28">
        <f>IF(AND($A100&lt;&gt;"",$B100="Program"),COUNTIFS($B$6:$B100,"Program",$A$6:$A100,"&lt;&gt;"),"")</f>
        <v/>
      </c>
      <c r="T100" s="30">
        <f>IF(AND($A100&lt;&gt;"",$B100="Program"),SUMPRODUCT(MAX(($C$6:$C$305=$A100)*($B$6:$B$305="Project")*($D$6:$D$305&lt;&gt;"Proposed")*$I$6:$I$305)),0)</f>
        <v/>
      </c>
      <c r="U100" s="30">
        <f>IF($I100&lt;&gt;"",$I100,IF($T100&gt;0,$T100,""))</f>
        <v/>
      </c>
      <c r="V100" s="28">
        <f>IF(AND($A100&lt;&gt;"",$B100="Program"),SUMIFS($J$6:$J$305,$C$6:$C$305,$A100,$B$6:$B$305,"Project",$D$6:$D$305,"&lt;&gt;Proposed"),0)</f>
        <v/>
      </c>
      <c r="W100" s="28">
        <f>IF(AND($A100&lt;&gt;"",$B100="Program"),COUNTIFS($C$6:$C$305,$A100,$B$6:$B$305,"Project",$D$6:$D$305,"&lt;&gt;Proposed")-COUNTIFS($C$6:$C$305,$A100,$B$6:$B$305,"Project",$D$6:$D$305,"&lt;&gt;Proposed",$J$6:$J$305,"&gt;=0"),0)</f>
        <v/>
      </c>
      <c r="X100" s="28">
        <f>IF(OR($Q100=0,$H100="",$AF100="Sprint"),0,IF(AND($B100="Project",$H100&lt;TODAY()),3,IF($U100="",0,IF($U100&lt;=$H100,1,IF(NETWORKDAYS($H100,$U100)-1&gt;IF($B100="Program",Checks!$B$7,Checks!$B$6),3,2)))))</f>
        <v/>
      </c>
      <c r="Y100" s="28">
        <f>IF(OR($Q100=0,$K100="",$K100=0,$AF100="Sprint"),0,IF(AND($B100="Project",$J100=""),0,IF(IF($B100="Program",$V100,$J100)&gt;$K100*(1+Checks!$B$8),3,IF(IF($B100="Program",$V100,$J100)&gt;$K100,2,IF(AND($B100="Program",OR($W100&gt;0,$V100=0)),0,1)))))</f>
        <v/>
      </c>
      <c r="Z100" s="28">
        <f>IF($A100="",0,IF($C100="Portfolio",1,IF(AND($B100="Project",$C100&lt;&gt;"",$C100&lt;&gt;"Outside the portfolio"),IFERROR(IF(AND(INDEX($B$6:$B$305,MATCH($C100,$A$6:$A$305,0))="Program",INDEX($C$6:$C$305,MATCH($C100,$A$6:$A$305,0))="Portfolio"),1,0),0),0)))</f>
        <v/>
      </c>
      <c r="AA100" s="28">
        <f>IF(AND($A100&lt;&gt;"",$E100="",OR($Q100=1,$D100="Proposed")),1,0)</f>
        <v/>
      </c>
      <c r="AB100" s="28">
        <f>IF(AND($A100&lt;&gt;"",$B100="Program",$F100="",$Q100=1),1,0)</f>
        <v/>
      </c>
      <c r="AC100" s="28">
        <f>IF(OR($A100="",$D100="Completed",$D100="Terminated"),0,IF($C100="",1,IF($C100="Portfolio",0,IF($C100="Outside the portfolio",IF($Q100=1,2,0),IF($B100="Project",IF(IFERROR(INDEX($B$6:$B$305,MATCH($C100,$A$6:$A$305,0)),"")="Program",0,1),1)))))</f>
        <v/>
      </c>
      <c r="AD100" s="28">
        <f>IF(AND($A100&lt;&gt;"",OR($M100="■ Red",$M100="◧ Amber"),$L100=""),1,0)</f>
        <v/>
      </c>
      <c r="AE100" s="28">
        <f>$AA100+$AB100+IF($AC100&gt;0,1,0)+$AD100+$AG100+$AH100</f>
        <v/>
      </c>
      <c r="AF100" s="25" t="n"/>
      <c r="AG100" s="28">
        <f>IF(AND($A100&lt;&gt;"",$K100&lt;&gt;"",$C100&lt;&gt;"Portfolio",$D100&lt;&gt;"Completed",$D100&lt;&gt;"Terminated"),1,0)</f>
        <v/>
      </c>
      <c r="AH100" s="28">
        <f>IF(AND($A100&lt;&gt;"",COUNTIF($A$6:$A$305,$A100)&gt;1),1,0)</f>
        <v/>
      </c>
      <c r="AI100" s="28">
        <f>IF(AND($A100&lt;&gt;"",$C100="Portfolio"),COUNTIFS($C$6:$C100,"Portfolio",$A$6:$A100,"&lt;&gt;"),"")</f>
        <v/>
      </c>
    </row>
    <row r="101">
      <c r="A101" s="25" t="n"/>
      <c r="B101" s="25" t="n"/>
      <c r="C101" s="25" t="n"/>
      <c r="D101" s="25" t="n"/>
      <c r="E101" s="25" t="n"/>
      <c r="F101" s="25" t="n"/>
      <c r="G101" s="25" t="n"/>
      <c r="H101" s="26" t="n"/>
      <c r="I101" s="26" t="n"/>
      <c r="J101" s="27" t="n"/>
      <c r="K101" s="27" t="n"/>
      <c r="L101" s="23" t="n"/>
      <c r="M101" s="28">
        <f>IF($A101="","",IF($D101="","Not read",IF($Q101=0,"Not counted",IF(MAX($X101,$Y101)=3,"■ Red",IF(MAX($X101,$Y101)=2,"◧ Amber",IF(MAX($X101,$Y101)=1,"□ On track","Not read"))))))</f>
        <v/>
      </c>
      <c r="N101" s="28">
        <f>IF(OR($A101="",$B101&lt;&gt;"Program"),"","■ "&amp;COUNTIFS($C$6:$C$305,$A101,$M$6:$M$305,"■ Red")&amp;" Red, ◧ "&amp;COUNTIFS($C$6:$C$305,$A101,$M$6:$M$305,"◧ Amber")&amp;" Amber")</f>
        <v/>
      </c>
      <c r="O101" s="29">
        <f>IF(OR($A101="",$E101=""),"",COUNTIFS($E$6:$E$305,$E101,$D$6:$D$305,"Active")+COUNTIFS($E$6:$E$305,$E101,$D$6:$D$305,"Paused"))</f>
        <v/>
      </c>
      <c r="P101" s="28">
        <f>IF($A101="","",IF($AE101=0,"○ Clear",IF($AA101=1,"△ No owner",IF($AC101=1,"△ Check Sits under",IF($AC101=2,"△ Outside the portfolio",IF($AB101=1,"△ No sponsor",IF($AH101=1,"△ Name used twice",IF($AG101=1,"△ Budget only counts under Portfolio","△ No variance note"))))))&amp;IF($AE101&gt;1," (+"&amp;($AE101-1)&amp;" more)","")))</f>
        <v/>
      </c>
      <c r="Q101" s="28">
        <f>IF(AND($A101&lt;&gt;"",OR($D101="Active",$D101="Paused")),1,0)</f>
        <v/>
      </c>
      <c r="R101" s="28">
        <f>IFERROR(INDEX($A$6:$A$305,MATCH(94,$S$6:$S$305,0)),"")</f>
        <v/>
      </c>
      <c r="S101" s="28">
        <f>IF(AND($A101&lt;&gt;"",$B101="Program"),COUNTIFS($B$6:$B101,"Program",$A$6:$A101,"&lt;&gt;"),"")</f>
        <v/>
      </c>
      <c r="T101" s="30">
        <f>IF(AND($A101&lt;&gt;"",$B101="Program"),SUMPRODUCT(MAX(($C$6:$C$305=$A101)*($B$6:$B$305="Project")*($D$6:$D$305&lt;&gt;"Proposed")*$I$6:$I$305)),0)</f>
        <v/>
      </c>
      <c r="U101" s="30">
        <f>IF($I101&lt;&gt;"",$I101,IF($T101&gt;0,$T101,""))</f>
        <v/>
      </c>
      <c r="V101" s="28">
        <f>IF(AND($A101&lt;&gt;"",$B101="Program"),SUMIFS($J$6:$J$305,$C$6:$C$305,$A101,$B$6:$B$305,"Project",$D$6:$D$305,"&lt;&gt;Proposed"),0)</f>
        <v/>
      </c>
      <c r="W101" s="28">
        <f>IF(AND($A101&lt;&gt;"",$B101="Program"),COUNTIFS($C$6:$C$305,$A101,$B$6:$B$305,"Project",$D$6:$D$305,"&lt;&gt;Proposed")-COUNTIFS($C$6:$C$305,$A101,$B$6:$B$305,"Project",$D$6:$D$305,"&lt;&gt;Proposed",$J$6:$J$305,"&gt;=0"),0)</f>
        <v/>
      </c>
      <c r="X101" s="28">
        <f>IF(OR($Q101=0,$H101="",$AF101="Sprint"),0,IF(AND($B101="Project",$H101&lt;TODAY()),3,IF($U101="",0,IF($U101&lt;=$H101,1,IF(NETWORKDAYS($H101,$U101)-1&gt;IF($B101="Program",Checks!$B$7,Checks!$B$6),3,2)))))</f>
        <v/>
      </c>
      <c r="Y101" s="28">
        <f>IF(OR($Q101=0,$K101="",$K101=0,$AF101="Sprint"),0,IF(AND($B101="Project",$J101=""),0,IF(IF($B101="Program",$V101,$J101)&gt;$K101*(1+Checks!$B$8),3,IF(IF($B101="Program",$V101,$J101)&gt;$K101,2,IF(AND($B101="Program",OR($W101&gt;0,$V101=0)),0,1)))))</f>
        <v/>
      </c>
      <c r="Z101" s="28">
        <f>IF($A101="",0,IF($C101="Portfolio",1,IF(AND($B101="Project",$C101&lt;&gt;"",$C101&lt;&gt;"Outside the portfolio"),IFERROR(IF(AND(INDEX($B$6:$B$305,MATCH($C101,$A$6:$A$305,0))="Program",INDEX($C$6:$C$305,MATCH($C101,$A$6:$A$305,0))="Portfolio"),1,0),0),0)))</f>
        <v/>
      </c>
      <c r="AA101" s="28">
        <f>IF(AND($A101&lt;&gt;"",$E101="",OR($Q101=1,$D101="Proposed")),1,0)</f>
        <v/>
      </c>
      <c r="AB101" s="28">
        <f>IF(AND($A101&lt;&gt;"",$B101="Program",$F101="",$Q101=1),1,0)</f>
        <v/>
      </c>
      <c r="AC101" s="28">
        <f>IF(OR($A101="",$D101="Completed",$D101="Terminated"),0,IF($C101="",1,IF($C101="Portfolio",0,IF($C101="Outside the portfolio",IF($Q101=1,2,0),IF($B101="Project",IF(IFERROR(INDEX($B$6:$B$305,MATCH($C101,$A$6:$A$305,0)),"")="Program",0,1),1)))))</f>
        <v/>
      </c>
      <c r="AD101" s="28">
        <f>IF(AND($A101&lt;&gt;"",OR($M101="■ Red",$M101="◧ Amber"),$L101=""),1,0)</f>
        <v/>
      </c>
      <c r="AE101" s="28">
        <f>$AA101+$AB101+IF($AC101&gt;0,1,0)+$AD101+$AG101+$AH101</f>
        <v/>
      </c>
      <c r="AF101" s="25" t="n"/>
      <c r="AG101" s="28">
        <f>IF(AND($A101&lt;&gt;"",$K101&lt;&gt;"",$C101&lt;&gt;"Portfolio",$D101&lt;&gt;"Completed",$D101&lt;&gt;"Terminated"),1,0)</f>
        <v/>
      </c>
      <c r="AH101" s="28">
        <f>IF(AND($A101&lt;&gt;"",COUNTIF($A$6:$A$305,$A101)&gt;1),1,0)</f>
        <v/>
      </c>
      <c r="AI101" s="28">
        <f>IF(AND($A101&lt;&gt;"",$C101="Portfolio"),COUNTIFS($C$6:$C101,"Portfolio",$A$6:$A101,"&lt;&gt;"),"")</f>
        <v/>
      </c>
    </row>
    <row r="102">
      <c r="A102" s="25" t="n"/>
      <c r="B102" s="25" t="n"/>
      <c r="C102" s="25" t="n"/>
      <c r="D102" s="25" t="n"/>
      <c r="E102" s="25" t="n"/>
      <c r="F102" s="25" t="n"/>
      <c r="G102" s="25" t="n"/>
      <c r="H102" s="26" t="n"/>
      <c r="I102" s="26" t="n"/>
      <c r="J102" s="27" t="n"/>
      <c r="K102" s="27" t="n"/>
      <c r="L102" s="23" t="n"/>
      <c r="M102" s="28">
        <f>IF($A102="","",IF($D102="","Not read",IF($Q102=0,"Not counted",IF(MAX($X102,$Y102)=3,"■ Red",IF(MAX($X102,$Y102)=2,"◧ Amber",IF(MAX($X102,$Y102)=1,"□ On track","Not read"))))))</f>
        <v/>
      </c>
      <c r="N102" s="28">
        <f>IF(OR($A102="",$B102&lt;&gt;"Program"),"","■ "&amp;COUNTIFS($C$6:$C$305,$A102,$M$6:$M$305,"■ Red")&amp;" Red, ◧ "&amp;COUNTIFS($C$6:$C$305,$A102,$M$6:$M$305,"◧ Amber")&amp;" Amber")</f>
        <v/>
      </c>
      <c r="O102" s="29">
        <f>IF(OR($A102="",$E102=""),"",COUNTIFS($E$6:$E$305,$E102,$D$6:$D$305,"Active")+COUNTIFS($E$6:$E$305,$E102,$D$6:$D$305,"Paused"))</f>
        <v/>
      </c>
      <c r="P102" s="28">
        <f>IF($A102="","",IF($AE102=0,"○ Clear",IF($AA102=1,"△ No owner",IF($AC102=1,"△ Check Sits under",IF($AC102=2,"△ Outside the portfolio",IF($AB102=1,"△ No sponsor",IF($AH102=1,"△ Name used twice",IF($AG102=1,"△ Budget only counts under Portfolio","△ No variance note"))))))&amp;IF($AE102&gt;1," (+"&amp;($AE102-1)&amp;" more)","")))</f>
        <v/>
      </c>
      <c r="Q102" s="28">
        <f>IF(AND($A102&lt;&gt;"",OR($D102="Active",$D102="Paused")),1,0)</f>
        <v/>
      </c>
      <c r="R102" s="28">
        <f>IFERROR(INDEX($A$6:$A$305,MATCH(95,$S$6:$S$305,0)),"")</f>
        <v/>
      </c>
      <c r="S102" s="28">
        <f>IF(AND($A102&lt;&gt;"",$B102="Program"),COUNTIFS($B$6:$B102,"Program",$A$6:$A102,"&lt;&gt;"),"")</f>
        <v/>
      </c>
      <c r="T102" s="30">
        <f>IF(AND($A102&lt;&gt;"",$B102="Program"),SUMPRODUCT(MAX(($C$6:$C$305=$A102)*($B$6:$B$305="Project")*($D$6:$D$305&lt;&gt;"Proposed")*$I$6:$I$305)),0)</f>
        <v/>
      </c>
      <c r="U102" s="30">
        <f>IF($I102&lt;&gt;"",$I102,IF($T102&gt;0,$T102,""))</f>
        <v/>
      </c>
      <c r="V102" s="28">
        <f>IF(AND($A102&lt;&gt;"",$B102="Program"),SUMIFS($J$6:$J$305,$C$6:$C$305,$A102,$B$6:$B$305,"Project",$D$6:$D$305,"&lt;&gt;Proposed"),0)</f>
        <v/>
      </c>
      <c r="W102" s="28">
        <f>IF(AND($A102&lt;&gt;"",$B102="Program"),COUNTIFS($C$6:$C$305,$A102,$B$6:$B$305,"Project",$D$6:$D$305,"&lt;&gt;Proposed")-COUNTIFS($C$6:$C$305,$A102,$B$6:$B$305,"Project",$D$6:$D$305,"&lt;&gt;Proposed",$J$6:$J$305,"&gt;=0"),0)</f>
        <v/>
      </c>
      <c r="X102" s="28">
        <f>IF(OR($Q102=0,$H102="",$AF102="Sprint"),0,IF(AND($B102="Project",$H102&lt;TODAY()),3,IF($U102="",0,IF($U102&lt;=$H102,1,IF(NETWORKDAYS($H102,$U102)-1&gt;IF($B102="Program",Checks!$B$7,Checks!$B$6),3,2)))))</f>
        <v/>
      </c>
      <c r="Y102" s="28">
        <f>IF(OR($Q102=0,$K102="",$K102=0,$AF102="Sprint"),0,IF(AND($B102="Project",$J102=""),0,IF(IF($B102="Program",$V102,$J102)&gt;$K102*(1+Checks!$B$8),3,IF(IF($B102="Program",$V102,$J102)&gt;$K102,2,IF(AND($B102="Program",OR($W102&gt;0,$V102=0)),0,1)))))</f>
        <v/>
      </c>
      <c r="Z102" s="28">
        <f>IF($A102="",0,IF($C102="Portfolio",1,IF(AND($B102="Project",$C102&lt;&gt;"",$C102&lt;&gt;"Outside the portfolio"),IFERROR(IF(AND(INDEX($B$6:$B$305,MATCH($C102,$A$6:$A$305,0))="Program",INDEX($C$6:$C$305,MATCH($C102,$A$6:$A$305,0))="Portfolio"),1,0),0),0)))</f>
        <v/>
      </c>
      <c r="AA102" s="28">
        <f>IF(AND($A102&lt;&gt;"",$E102="",OR($Q102=1,$D102="Proposed")),1,0)</f>
        <v/>
      </c>
      <c r="AB102" s="28">
        <f>IF(AND($A102&lt;&gt;"",$B102="Program",$F102="",$Q102=1),1,0)</f>
        <v/>
      </c>
      <c r="AC102" s="28">
        <f>IF(OR($A102="",$D102="Completed",$D102="Terminated"),0,IF($C102="",1,IF($C102="Portfolio",0,IF($C102="Outside the portfolio",IF($Q102=1,2,0),IF($B102="Project",IF(IFERROR(INDEX($B$6:$B$305,MATCH($C102,$A$6:$A$305,0)),"")="Program",0,1),1)))))</f>
        <v/>
      </c>
      <c r="AD102" s="28">
        <f>IF(AND($A102&lt;&gt;"",OR($M102="■ Red",$M102="◧ Amber"),$L102=""),1,0)</f>
        <v/>
      </c>
      <c r="AE102" s="28">
        <f>$AA102+$AB102+IF($AC102&gt;0,1,0)+$AD102+$AG102+$AH102</f>
        <v/>
      </c>
      <c r="AF102" s="25" t="n"/>
      <c r="AG102" s="28">
        <f>IF(AND($A102&lt;&gt;"",$K102&lt;&gt;"",$C102&lt;&gt;"Portfolio",$D102&lt;&gt;"Completed",$D102&lt;&gt;"Terminated"),1,0)</f>
        <v/>
      </c>
      <c r="AH102" s="28">
        <f>IF(AND($A102&lt;&gt;"",COUNTIF($A$6:$A$305,$A102)&gt;1),1,0)</f>
        <v/>
      </c>
      <c r="AI102" s="28">
        <f>IF(AND($A102&lt;&gt;"",$C102="Portfolio"),COUNTIFS($C$6:$C102,"Portfolio",$A$6:$A102,"&lt;&gt;"),"")</f>
        <v/>
      </c>
    </row>
    <row r="103">
      <c r="A103" s="25" t="n"/>
      <c r="B103" s="25" t="n"/>
      <c r="C103" s="25" t="n"/>
      <c r="D103" s="25" t="n"/>
      <c r="E103" s="25" t="n"/>
      <c r="F103" s="25" t="n"/>
      <c r="G103" s="25" t="n"/>
      <c r="H103" s="26" t="n"/>
      <c r="I103" s="26" t="n"/>
      <c r="J103" s="27" t="n"/>
      <c r="K103" s="27" t="n"/>
      <c r="L103" s="23" t="n"/>
      <c r="M103" s="28">
        <f>IF($A103="","",IF($D103="","Not read",IF($Q103=0,"Not counted",IF(MAX($X103,$Y103)=3,"■ Red",IF(MAX($X103,$Y103)=2,"◧ Amber",IF(MAX($X103,$Y103)=1,"□ On track","Not read"))))))</f>
        <v/>
      </c>
      <c r="N103" s="28">
        <f>IF(OR($A103="",$B103&lt;&gt;"Program"),"","■ "&amp;COUNTIFS($C$6:$C$305,$A103,$M$6:$M$305,"■ Red")&amp;" Red, ◧ "&amp;COUNTIFS($C$6:$C$305,$A103,$M$6:$M$305,"◧ Amber")&amp;" Amber")</f>
        <v/>
      </c>
      <c r="O103" s="29">
        <f>IF(OR($A103="",$E103=""),"",COUNTIFS($E$6:$E$305,$E103,$D$6:$D$305,"Active")+COUNTIFS($E$6:$E$305,$E103,$D$6:$D$305,"Paused"))</f>
        <v/>
      </c>
      <c r="P103" s="28">
        <f>IF($A103="","",IF($AE103=0,"○ Clear",IF($AA103=1,"△ No owner",IF($AC103=1,"△ Check Sits under",IF($AC103=2,"△ Outside the portfolio",IF($AB103=1,"△ No sponsor",IF($AH103=1,"△ Name used twice",IF($AG103=1,"△ Budget only counts under Portfolio","△ No variance note"))))))&amp;IF($AE103&gt;1," (+"&amp;($AE103-1)&amp;" more)","")))</f>
        <v/>
      </c>
      <c r="Q103" s="28">
        <f>IF(AND($A103&lt;&gt;"",OR($D103="Active",$D103="Paused")),1,0)</f>
        <v/>
      </c>
      <c r="R103" s="28">
        <f>IFERROR(INDEX($A$6:$A$305,MATCH(96,$S$6:$S$305,0)),"")</f>
        <v/>
      </c>
      <c r="S103" s="28">
        <f>IF(AND($A103&lt;&gt;"",$B103="Program"),COUNTIFS($B$6:$B103,"Program",$A$6:$A103,"&lt;&gt;"),"")</f>
        <v/>
      </c>
      <c r="T103" s="30">
        <f>IF(AND($A103&lt;&gt;"",$B103="Program"),SUMPRODUCT(MAX(($C$6:$C$305=$A103)*($B$6:$B$305="Project")*($D$6:$D$305&lt;&gt;"Proposed")*$I$6:$I$305)),0)</f>
        <v/>
      </c>
      <c r="U103" s="30">
        <f>IF($I103&lt;&gt;"",$I103,IF($T103&gt;0,$T103,""))</f>
        <v/>
      </c>
      <c r="V103" s="28">
        <f>IF(AND($A103&lt;&gt;"",$B103="Program"),SUMIFS($J$6:$J$305,$C$6:$C$305,$A103,$B$6:$B$305,"Project",$D$6:$D$305,"&lt;&gt;Proposed"),0)</f>
        <v/>
      </c>
      <c r="W103" s="28">
        <f>IF(AND($A103&lt;&gt;"",$B103="Program"),COUNTIFS($C$6:$C$305,$A103,$B$6:$B$305,"Project",$D$6:$D$305,"&lt;&gt;Proposed")-COUNTIFS($C$6:$C$305,$A103,$B$6:$B$305,"Project",$D$6:$D$305,"&lt;&gt;Proposed",$J$6:$J$305,"&gt;=0"),0)</f>
        <v/>
      </c>
      <c r="X103" s="28">
        <f>IF(OR($Q103=0,$H103="",$AF103="Sprint"),0,IF(AND($B103="Project",$H103&lt;TODAY()),3,IF($U103="",0,IF($U103&lt;=$H103,1,IF(NETWORKDAYS($H103,$U103)-1&gt;IF($B103="Program",Checks!$B$7,Checks!$B$6),3,2)))))</f>
        <v/>
      </c>
      <c r="Y103" s="28">
        <f>IF(OR($Q103=0,$K103="",$K103=0,$AF103="Sprint"),0,IF(AND($B103="Project",$J103=""),0,IF(IF($B103="Program",$V103,$J103)&gt;$K103*(1+Checks!$B$8),3,IF(IF($B103="Program",$V103,$J103)&gt;$K103,2,IF(AND($B103="Program",OR($W103&gt;0,$V103=0)),0,1)))))</f>
        <v/>
      </c>
      <c r="Z103" s="28">
        <f>IF($A103="",0,IF($C103="Portfolio",1,IF(AND($B103="Project",$C103&lt;&gt;"",$C103&lt;&gt;"Outside the portfolio"),IFERROR(IF(AND(INDEX($B$6:$B$305,MATCH($C103,$A$6:$A$305,0))="Program",INDEX($C$6:$C$305,MATCH($C103,$A$6:$A$305,0))="Portfolio"),1,0),0),0)))</f>
        <v/>
      </c>
      <c r="AA103" s="28">
        <f>IF(AND($A103&lt;&gt;"",$E103="",OR($Q103=1,$D103="Proposed")),1,0)</f>
        <v/>
      </c>
      <c r="AB103" s="28">
        <f>IF(AND($A103&lt;&gt;"",$B103="Program",$F103="",$Q103=1),1,0)</f>
        <v/>
      </c>
      <c r="AC103" s="28">
        <f>IF(OR($A103="",$D103="Completed",$D103="Terminated"),0,IF($C103="",1,IF($C103="Portfolio",0,IF($C103="Outside the portfolio",IF($Q103=1,2,0),IF($B103="Project",IF(IFERROR(INDEX($B$6:$B$305,MATCH($C103,$A$6:$A$305,0)),"")="Program",0,1),1)))))</f>
        <v/>
      </c>
      <c r="AD103" s="28">
        <f>IF(AND($A103&lt;&gt;"",OR($M103="■ Red",$M103="◧ Amber"),$L103=""),1,0)</f>
        <v/>
      </c>
      <c r="AE103" s="28">
        <f>$AA103+$AB103+IF($AC103&gt;0,1,0)+$AD103+$AG103+$AH103</f>
        <v/>
      </c>
      <c r="AF103" s="25" t="n"/>
      <c r="AG103" s="28">
        <f>IF(AND($A103&lt;&gt;"",$K103&lt;&gt;"",$C103&lt;&gt;"Portfolio",$D103&lt;&gt;"Completed",$D103&lt;&gt;"Terminated"),1,0)</f>
        <v/>
      </c>
      <c r="AH103" s="28">
        <f>IF(AND($A103&lt;&gt;"",COUNTIF($A$6:$A$305,$A103)&gt;1),1,0)</f>
        <v/>
      </c>
      <c r="AI103" s="28">
        <f>IF(AND($A103&lt;&gt;"",$C103="Portfolio"),COUNTIFS($C$6:$C103,"Portfolio",$A$6:$A103,"&lt;&gt;"),"")</f>
        <v/>
      </c>
    </row>
    <row r="104">
      <c r="A104" s="25" t="n"/>
      <c r="B104" s="25" t="n"/>
      <c r="C104" s="25" t="n"/>
      <c r="D104" s="25" t="n"/>
      <c r="E104" s="25" t="n"/>
      <c r="F104" s="25" t="n"/>
      <c r="G104" s="25" t="n"/>
      <c r="H104" s="26" t="n"/>
      <c r="I104" s="26" t="n"/>
      <c r="J104" s="27" t="n"/>
      <c r="K104" s="27" t="n"/>
      <c r="L104" s="23" t="n"/>
      <c r="M104" s="28">
        <f>IF($A104="","",IF($D104="","Not read",IF($Q104=0,"Not counted",IF(MAX($X104,$Y104)=3,"■ Red",IF(MAX($X104,$Y104)=2,"◧ Amber",IF(MAX($X104,$Y104)=1,"□ On track","Not read"))))))</f>
        <v/>
      </c>
      <c r="N104" s="28">
        <f>IF(OR($A104="",$B104&lt;&gt;"Program"),"","■ "&amp;COUNTIFS($C$6:$C$305,$A104,$M$6:$M$305,"■ Red")&amp;" Red, ◧ "&amp;COUNTIFS($C$6:$C$305,$A104,$M$6:$M$305,"◧ Amber")&amp;" Amber")</f>
        <v/>
      </c>
      <c r="O104" s="29">
        <f>IF(OR($A104="",$E104=""),"",COUNTIFS($E$6:$E$305,$E104,$D$6:$D$305,"Active")+COUNTIFS($E$6:$E$305,$E104,$D$6:$D$305,"Paused"))</f>
        <v/>
      </c>
      <c r="P104" s="28">
        <f>IF($A104="","",IF($AE104=0,"○ Clear",IF($AA104=1,"△ No owner",IF($AC104=1,"△ Check Sits under",IF($AC104=2,"△ Outside the portfolio",IF($AB104=1,"△ No sponsor",IF($AH104=1,"△ Name used twice",IF($AG104=1,"△ Budget only counts under Portfolio","△ No variance note"))))))&amp;IF($AE104&gt;1," (+"&amp;($AE104-1)&amp;" more)","")))</f>
        <v/>
      </c>
      <c r="Q104" s="28">
        <f>IF(AND($A104&lt;&gt;"",OR($D104="Active",$D104="Paused")),1,0)</f>
        <v/>
      </c>
      <c r="R104" s="28">
        <f>IFERROR(INDEX($A$6:$A$305,MATCH(97,$S$6:$S$305,0)),"")</f>
        <v/>
      </c>
      <c r="S104" s="28">
        <f>IF(AND($A104&lt;&gt;"",$B104="Program"),COUNTIFS($B$6:$B104,"Program",$A$6:$A104,"&lt;&gt;"),"")</f>
        <v/>
      </c>
      <c r="T104" s="30">
        <f>IF(AND($A104&lt;&gt;"",$B104="Program"),SUMPRODUCT(MAX(($C$6:$C$305=$A104)*($B$6:$B$305="Project")*($D$6:$D$305&lt;&gt;"Proposed")*$I$6:$I$305)),0)</f>
        <v/>
      </c>
      <c r="U104" s="30">
        <f>IF($I104&lt;&gt;"",$I104,IF($T104&gt;0,$T104,""))</f>
        <v/>
      </c>
      <c r="V104" s="28">
        <f>IF(AND($A104&lt;&gt;"",$B104="Program"),SUMIFS($J$6:$J$305,$C$6:$C$305,$A104,$B$6:$B$305,"Project",$D$6:$D$305,"&lt;&gt;Proposed"),0)</f>
        <v/>
      </c>
      <c r="W104" s="28">
        <f>IF(AND($A104&lt;&gt;"",$B104="Program"),COUNTIFS($C$6:$C$305,$A104,$B$6:$B$305,"Project",$D$6:$D$305,"&lt;&gt;Proposed")-COUNTIFS($C$6:$C$305,$A104,$B$6:$B$305,"Project",$D$6:$D$305,"&lt;&gt;Proposed",$J$6:$J$305,"&gt;=0"),0)</f>
        <v/>
      </c>
      <c r="X104" s="28">
        <f>IF(OR($Q104=0,$H104="",$AF104="Sprint"),0,IF(AND($B104="Project",$H104&lt;TODAY()),3,IF($U104="",0,IF($U104&lt;=$H104,1,IF(NETWORKDAYS($H104,$U104)-1&gt;IF($B104="Program",Checks!$B$7,Checks!$B$6),3,2)))))</f>
        <v/>
      </c>
      <c r="Y104" s="28">
        <f>IF(OR($Q104=0,$K104="",$K104=0,$AF104="Sprint"),0,IF(AND($B104="Project",$J104=""),0,IF(IF($B104="Program",$V104,$J104)&gt;$K104*(1+Checks!$B$8),3,IF(IF($B104="Program",$V104,$J104)&gt;$K104,2,IF(AND($B104="Program",OR($W104&gt;0,$V104=0)),0,1)))))</f>
        <v/>
      </c>
      <c r="Z104" s="28">
        <f>IF($A104="",0,IF($C104="Portfolio",1,IF(AND($B104="Project",$C104&lt;&gt;"",$C104&lt;&gt;"Outside the portfolio"),IFERROR(IF(AND(INDEX($B$6:$B$305,MATCH($C104,$A$6:$A$305,0))="Program",INDEX($C$6:$C$305,MATCH($C104,$A$6:$A$305,0))="Portfolio"),1,0),0),0)))</f>
        <v/>
      </c>
      <c r="AA104" s="28">
        <f>IF(AND($A104&lt;&gt;"",$E104="",OR($Q104=1,$D104="Proposed")),1,0)</f>
        <v/>
      </c>
      <c r="AB104" s="28">
        <f>IF(AND($A104&lt;&gt;"",$B104="Program",$F104="",$Q104=1),1,0)</f>
        <v/>
      </c>
      <c r="AC104" s="28">
        <f>IF(OR($A104="",$D104="Completed",$D104="Terminated"),0,IF($C104="",1,IF($C104="Portfolio",0,IF($C104="Outside the portfolio",IF($Q104=1,2,0),IF($B104="Project",IF(IFERROR(INDEX($B$6:$B$305,MATCH($C104,$A$6:$A$305,0)),"")="Program",0,1),1)))))</f>
        <v/>
      </c>
      <c r="AD104" s="28">
        <f>IF(AND($A104&lt;&gt;"",OR($M104="■ Red",$M104="◧ Amber"),$L104=""),1,0)</f>
        <v/>
      </c>
      <c r="AE104" s="28">
        <f>$AA104+$AB104+IF($AC104&gt;0,1,0)+$AD104+$AG104+$AH104</f>
        <v/>
      </c>
      <c r="AF104" s="25" t="n"/>
      <c r="AG104" s="28">
        <f>IF(AND($A104&lt;&gt;"",$K104&lt;&gt;"",$C104&lt;&gt;"Portfolio",$D104&lt;&gt;"Completed",$D104&lt;&gt;"Terminated"),1,0)</f>
        <v/>
      </c>
      <c r="AH104" s="28">
        <f>IF(AND($A104&lt;&gt;"",COUNTIF($A$6:$A$305,$A104)&gt;1),1,0)</f>
        <v/>
      </c>
      <c r="AI104" s="28">
        <f>IF(AND($A104&lt;&gt;"",$C104="Portfolio"),COUNTIFS($C$6:$C104,"Portfolio",$A$6:$A104,"&lt;&gt;"),"")</f>
        <v/>
      </c>
    </row>
    <row r="105">
      <c r="A105" s="25" t="n"/>
      <c r="B105" s="25" t="n"/>
      <c r="C105" s="25" t="n"/>
      <c r="D105" s="25" t="n"/>
      <c r="E105" s="25" t="n"/>
      <c r="F105" s="25" t="n"/>
      <c r="G105" s="25" t="n"/>
      <c r="H105" s="26" t="n"/>
      <c r="I105" s="26" t="n"/>
      <c r="J105" s="27" t="n"/>
      <c r="K105" s="27" t="n"/>
      <c r="L105" s="23" t="n"/>
      <c r="M105" s="28">
        <f>IF($A105="","",IF($D105="","Not read",IF($Q105=0,"Not counted",IF(MAX($X105,$Y105)=3,"■ Red",IF(MAX($X105,$Y105)=2,"◧ Amber",IF(MAX($X105,$Y105)=1,"□ On track","Not read"))))))</f>
        <v/>
      </c>
      <c r="N105" s="28">
        <f>IF(OR($A105="",$B105&lt;&gt;"Program"),"","■ "&amp;COUNTIFS($C$6:$C$305,$A105,$M$6:$M$305,"■ Red")&amp;" Red, ◧ "&amp;COUNTIFS($C$6:$C$305,$A105,$M$6:$M$305,"◧ Amber")&amp;" Amber")</f>
        <v/>
      </c>
      <c r="O105" s="29">
        <f>IF(OR($A105="",$E105=""),"",COUNTIFS($E$6:$E$305,$E105,$D$6:$D$305,"Active")+COUNTIFS($E$6:$E$305,$E105,$D$6:$D$305,"Paused"))</f>
        <v/>
      </c>
      <c r="P105" s="28">
        <f>IF($A105="","",IF($AE105=0,"○ Clear",IF($AA105=1,"△ No owner",IF($AC105=1,"△ Check Sits under",IF($AC105=2,"△ Outside the portfolio",IF($AB105=1,"△ No sponsor",IF($AH105=1,"△ Name used twice",IF($AG105=1,"△ Budget only counts under Portfolio","△ No variance note"))))))&amp;IF($AE105&gt;1," (+"&amp;($AE105-1)&amp;" more)","")))</f>
        <v/>
      </c>
      <c r="Q105" s="28">
        <f>IF(AND($A105&lt;&gt;"",OR($D105="Active",$D105="Paused")),1,0)</f>
        <v/>
      </c>
      <c r="R105" s="28">
        <f>IFERROR(INDEX($A$6:$A$305,MATCH(98,$S$6:$S$305,0)),"")</f>
        <v/>
      </c>
      <c r="S105" s="28">
        <f>IF(AND($A105&lt;&gt;"",$B105="Program"),COUNTIFS($B$6:$B105,"Program",$A$6:$A105,"&lt;&gt;"),"")</f>
        <v/>
      </c>
      <c r="T105" s="30">
        <f>IF(AND($A105&lt;&gt;"",$B105="Program"),SUMPRODUCT(MAX(($C$6:$C$305=$A105)*($B$6:$B$305="Project")*($D$6:$D$305&lt;&gt;"Proposed")*$I$6:$I$305)),0)</f>
        <v/>
      </c>
      <c r="U105" s="30">
        <f>IF($I105&lt;&gt;"",$I105,IF($T105&gt;0,$T105,""))</f>
        <v/>
      </c>
      <c r="V105" s="28">
        <f>IF(AND($A105&lt;&gt;"",$B105="Program"),SUMIFS($J$6:$J$305,$C$6:$C$305,$A105,$B$6:$B$305,"Project",$D$6:$D$305,"&lt;&gt;Proposed"),0)</f>
        <v/>
      </c>
      <c r="W105" s="28">
        <f>IF(AND($A105&lt;&gt;"",$B105="Program"),COUNTIFS($C$6:$C$305,$A105,$B$6:$B$305,"Project",$D$6:$D$305,"&lt;&gt;Proposed")-COUNTIFS($C$6:$C$305,$A105,$B$6:$B$305,"Project",$D$6:$D$305,"&lt;&gt;Proposed",$J$6:$J$305,"&gt;=0"),0)</f>
        <v/>
      </c>
      <c r="X105" s="28">
        <f>IF(OR($Q105=0,$H105="",$AF105="Sprint"),0,IF(AND($B105="Project",$H105&lt;TODAY()),3,IF($U105="",0,IF($U105&lt;=$H105,1,IF(NETWORKDAYS($H105,$U105)-1&gt;IF($B105="Program",Checks!$B$7,Checks!$B$6),3,2)))))</f>
        <v/>
      </c>
      <c r="Y105" s="28">
        <f>IF(OR($Q105=0,$K105="",$K105=0,$AF105="Sprint"),0,IF(AND($B105="Project",$J105=""),0,IF(IF($B105="Program",$V105,$J105)&gt;$K105*(1+Checks!$B$8),3,IF(IF($B105="Program",$V105,$J105)&gt;$K105,2,IF(AND($B105="Program",OR($W105&gt;0,$V105=0)),0,1)))))</f>
        <v/>
      </c>
      <c r="Z105" s="28">
        <f>IF($A105="",0,IF($C105="Portfolio",1,IF(AND($B105="Project",$C105&lt;&gt;"",$C105&lt;&gt;"Outside the portfolio"),IFERROR(IF(AND(INDEX($B$6:$B$305,MATCH($C105,$A$6:$A$305,0))="Program",INDEX($C$6:$C$305,MATCH($C105,$A$6:$A$305,0))="Portfolio"),1,0),0),0)))</f>
        <v/>
      </c>
      <c r="AA105" s="28">
        <f>IF(AND($A105&lt;&gt;"",$E105="",OR($Q105=1,$D105="Proposed")),1,0)</f>
        <v/>
      </c>
      <c r="AB105" s="28">
        <f>IF(AND($A105&lt;&gt;"",$B105="Program",$F105="",$Q105=1),1,0)</f>
        <v/>
      </c>
      <c r="AC105" s="28">
        <f>IF(OR($A105="",$D105="Completed",$D105="Terminated"),0,IF($C105="",1,IF($C105="Portfolio",0,IF($C105="Outside the portfolio",IF($Q105=1,2,0),IF($B105="Project",IF(IFERROR(INDEX($B$6:$B$305,MATCH($C105,$A$6:$A$305,0)),"")="Program",0,1),1)))))</f>
        <v/>
      </c>
      <c r="AD105" s="28">
        <f>IF(AND($A105&lt;&gt;"",OR($M105="■ Red",$M105="◧ Amber"),$L105=""),1,0)</f>
        <v/>
      </c>
      <c r="AE105" s="28">
        <f>$AA105+$AB105+IF($AC105&gt;0,1,0)+$AD105+$AG105+$AH105</f>
        <v/>
      </c>
      <c r="AF105" s="25" t="n"/>
      <c r="AG105" s="28">
        <f>IF(AND($A105&lt;&gt;"",$K105&lt;&gt;"",$C105&lt;&gt;"Portfolio",$D105&lt;&gt;"Completed",$D105&lt;&gt;"Terminated"),1,0)</f>
        <v/>
      </c>
      <c r="AH105" s="28">
        <f>IF(AND($A105&lt;&gt;"",COUNTIF($A$6:$A$305,$A105)&gt;1),1,0)</f>
        <v/>
      </c>
      <c r="AI105" s="28">
        <f>IF(AND($A105&lt;&gt;"",$C105="Portfolio"),COUNTIFS($C$6:$C105,"Portfolio",$A$6:$A105,"&lt;&gt;"),"")</f>
        <v/>
      </c>
    </row>
    <row r="106">
      <c r="A106" s="25" t="n"/>
      <c r="B106" s="25" t="n"/>
      <c r="C106" s="25" t="n"/>
      <c r="D106" s="25" t="n"/>
      <c r="E106" s="25" t="n"/>
      <c r="F106" s="25" t="n"/>
      <c r="G106" s="25" t="n"/>
      <c r="H106" s="26" t="n"/>
      <c r="I106" s="26" t="n"/>
      <c r="J106" s="27" t="n"/>
      <c r="K106" s="27" t="n"/>
      <c r="L106" s="23" t="n"/>
      <c r="M106" s="28">
        <f>IF($A106="","",IF($D106="","Not read",IF($Q106=0,"Not counted",IF(MAX($X106,$Y106)=3,"■ Red",IF(MAX($X106,$Y106)=2,"◧ Amber",IF(MAX($X106,$Y106)=1,"□ On track","Not read"))))))</f>
        <v/>
      </c>
      <c r="N106" s="28">
        <f>IF(OR($A106="",$B106&lt;&gt;"Program"),"","■ "&amp;COUNTIFS($C$6:$C$305,$A106,$M$6:$M$305,"■ Red")&amp;" Red, ◧ "&amp;COUNTIFS($C$6:$C$305,$A106,$M$6:$M$305,"◧ Amber")&amp;" Amber")</f>
        <v/>
      </c>
      <c r="O106" s="29">
        <f>IF(OR($A106="",$E106=""),"",COUNTIFS($E$6:$E$305,$E106,$D$6:$D$305,"Active")+COUNTIFS($E$6:$E$305,$E106,$D$6:$D$305,"Paused"))</f>
        <v/>
      </c>
      <c r="P106" s="28">
        <f>IF($A106="","",IF($AE106=0,"○ Clear",IF($AA106=1,"△ No owner",IF($AC106=1,"△ Check Sits under",IF($AC106=2,"△ Outside the portfolio",IF($AB106=1,"△ No sponsor",IF($AH106=1,"△ Name used twice",IF($AG106=1,"△ Budget only counts under Portfolio","△ No variance note"))))))&amp;IF($AE106&gt;1," (+"&amp;($AE106-1)&amp;" more)","")))</f>
        <v/>
      </c>
      <c r="Q106" s="28">
        <f>IF(AND($A106&lt;&gt;"",OR($D106="Active",$D106="Paused")),1,0)</f>
        <v/>
      </c>
      <c r="R106" s="28">
        <f>IFERROR(INDEX($A$6:$A$305,MATCH(99,$S$6:$S$305,0)),"")</f>
        <v/>
      </c>
      <c r="S106" s="28">
        <f>IF(AND($A106&lt;&gt;"",$B106="Program"),COUNTIFS($B$6:$B106,"Program",$A$6:$A106,"&lt;&gt;"),"")</f>
        <v/>
      </c>
      <c r="T106" s="30">
        <f>IF(AND($A106&lt;&gt;"",$B106="Program"),SUMPRODUCT(MAX(($C$6:$C$305=$A106)*($B$6:$B$305="Project")*($D$6:$D$305&lt;&gt;"Proposed")*$I$6:$I$305)),0)</f>
        <v/>
      </c>
      <c r="U106" s="30">
        <f>IF($I106&lt;&gt;"",$I106,IF($T106&gt;0,$T106,""))</f>
        <v/>
      </c>
      <c r="V106" s="28">
        <f>IF(AND($A106&lt;&gt;"",$B106="Program"),SUMIFS($J$6:$J$305,$C$6:$C$305,$A106,$B$6:$B$305,"Project",$D$6:$D$305,"&lt;&gt;Proposed"),0)</f>
        <v/>
      </c>
      <c r="W106" s="28">
        <f>IF(AND($A106&lt;&gt;"",$B106="Program"),COUNTIFS($C$6:$C$305,$A106,$B$6:$B$305,"Project",$D$6:$D$305,"&lt;&gt;Proposed")-COUNTIFS($C$6:$C$305,$A106,$B$6:$B$305,"Project",$D$6:$D$305,"&lt;&gt;Proposed",$J$6:$J$305,"&gt;=0"),0)</f>
        <v/>
      </c>
      <c r="X106" s="28">
        <f>IF(OR($Q106=0,$H106="",$AF106="Sprint"),0,IF(AND($B106="Project",$H106&lt;TODAY()),3,IF($U106="",0,IF($U106&lt;=$H106,1,IF(NETWORKDAYS($H106,$U106)-1&gt;IF($B106="Program",Checks!$B$7,Checks!$B$6),3,2)))))</f>
        <v/>
      </c>
      <c r="Y106" s="28">
        <f>IF(OR($Q106=0,$K106="",$K106=0,$AF106="Sprint"),0,IF(AND($B106="Project",$J106=""),0,IF(IF($B106="Program",$V106,$J106)&gt;$K106*(1+Checks!$B$8),3,IF(IF($B106="Program",$V106,$J106)&gt;$K106,2,IF(AND($B106="Program",OR($W106&gt;0,$V106=0)),0,1)))))</f>
        <v/>
      </c>
      <c r="Z106" s="28">
        <f>IF($A106="",0,IF($C106="Portfolio",1,IF(AND($B106="Project",$C106&lt;&gt;"",$C106&lt;&gt;"Outside the portfolio"),IFERROR(IF(AND(INDEX($B$6:$B$305,MATCH($C106,$A$6:$A$305,0))="Program",INDEX($C$6:$C$305,MATCH($C106,$A$6:$A$305,0))="Portfolio"),1,0),0),0)))</f>
        <v/>
      </c>
      <c r="AA106" s="28">
        <f>IF(AND($A106&lt;&gt;"",$E106="",OR($Q106=1,$D106="Proposed")),1,0)</f>
        <v/>
      </c>
      <c r="AB106" s="28">
        <f>IF(AND($A106&lt;&gt;"",$B106="Program",$F106="",$Q106=1),1,0)</f>
        <v/>
      </c>
      <c r="AC106" s="28">
        <f>IF(OR($A106="",$D106="Completed",$D106="Terminated"),0,IF($C106="",1,IF($C106="Portfolio",0,IF($C106="Outside the portfolio",IF($Q106=1,2,0),IF($B106="Project",IF(IFERROR(INDEX($B$6:$B$305,MATCH($C106,$A$6:$A$305,0)),"")="Program",0,1),1)))))</f>
        <v/>
      </c>
      <c r="AD106" s="28">
        <f>IF(AND($A106&lt;&gt;"",OR($M106="■ Red",$M106="◧ Amber"),$L106=""),1,0)</f>
        <v/>
      </c>
      <c r="AE106" s="28">
        <f>$AA106+$AB106+IF($AC106&gt;0,1,0)+$AD106+$AG106+$AH106</f>
        <v/>
      </c>
      <c r="AF106" s="25" t="n"/>
      <c r="AG106" s="28">
        <f>IF(AND($A106&lt;&gt;"",$K106&lt;&gt;"",$C106&lt;&gt;"Portfolio",$D106&lt;&gt;"Completed",$D106&lt;&gt;"Terminated"),1,0)</f>
        <v/>
      </c>
      <c r="AH106" s="28">
        <f>IF(AND($A106&lt;&gt;"",COUNTIF($A$6:$A$305,$A106)&gt;1),1,0)</f>
        <v/>
      </c>
      <c r="AI106" s="28">
        <f>IF(AND($A106&lt;&gt;"",$C106="Portfolio"),COUNTIFS($C$6:$C106,"Portfolio",$A$6:$A106,"&lt;&gt;"),"")</f>
        <v/>
      </c>
    </row>
    <row r="107">
      <c r="A107" s="25" t="n"/>
      <c r="B107" s="25" t="n"/>
      <c r="C107" s="25" t="n"/>
      <c r="D107" s="25" t="n"/>
      <c r="E107" s="25" t="n"/>
      <c r="F107" s="25" t="n"/>
      <c r="G107" s="25" t="n"/>
      <c r="H107" s="26" t="n"/>
      <c r="I107" s="26" t="n"/>
      <c r="J107" s="27" t="n"/>
      <c r="K107" s="27" t="n"/>
      <c r="L107" s="23" t="n"/>
      <c r="M107" s="28">
        <f>IF($A107="","",IF($D107="","Not read",IF($Q107=0,"Not counted",IF(MAX($X107,$Y107)=3,"■ Red",IF(MAX($X107,$Y107)=2,"◧ Amber",IF(MAX($X107,$Y107)=1,"□ On track","Not read"))))))</f>
        <v/>
      </c>
      <c r="N107" s="28">
        <f>IF(OR($A107="",$B107&lt;&gt;"Program"),"","■ "&amp;COUNTIFS($C$6:$C$305,$A107,$M$6:$M$305,"■ Red")&amp;" Red, ◧ "&amp;COUNTIFS($C$6:$C$305,$A107,$M$6:$M$305,"◧ Amber")&amp;" Amber")</f>
        <v/>
      </c>
      <c r="O107" s="29">
        <f>IF(OR($A107="",$E107=""),"",COUNTIFS($E$6:$E$305,$E107,$D$6:$D$305,"Active")+COUNTIFS($E$6:$E$305,$E107,$D$6:$D$305,"Paused"))</f>
        <v/>
      </c>
      <c r="P107" s="28">
        <f>IF($A107="","",IF($AE107=0,"○ Clear",IF($AA107=1,"△ No owner",IF($AC107=1,"△ Check Sits under",IF($AC107=2,"△ Outside the portfolio",IF($AB107=1,"△ No sponsor",IF($AH107=1,"△ Name used twice",IF($AG107=1,"△ Budget only counts under Portfolio","△ No variance note"))))))&amp;IF($AE107&gt;1," (+"&amp;($AE107-1)&amp;" more)","")))</f>
        <v/>
      </c>
      <c r="Q107" s="28">
        <f>IF(AND($A107&lt;&gt;"",OR($D107="Active",$D107="Paused")),1,0)</f>
        <v/>
      </c>
      <c r="R107" s="28">
        <f>IFERROR(INDEX($A$6:$A$305,MATCH(100,$S$6:$S$305,0)),"")</f>
        <v/>
      </c>
      <c r="S107" s="28">
        <f>IF(AND($A107&lt;&gt;"",$B107="Program"),COUNTIFS($B$6:$B107,"Program",$A$6:$A107,"&lt;&gt;"),"")</f>
        <v/>
      </c>
      <c r="T107" s="30">
        <f>IF(AND($A107&lt;&gt;"",$B107="Program"),SUMPRODUCT(MAX(($C$6:$C$305=$A107)*($B$6:$B$305="Project")*($D$6:$D$305&lt;&gt;"Proposed")*$I$6:$I$305)),0)</f>
        <v/>
      </c>
      <c r="U107" s="30">
        <f>IF($I107&lt;&gt;"",$I107,IF($T107&gt;0,$T107,""))</f>
        <v/>
      </c>
      <c r="V107" s="28">
        <f>IF(AND($A107&lt;&gt;"",$B107="Program"),SUMIFS($J$6:$J$305,$C$6:$C$305,$A107,$B$6:$B$305,"Project",$D$6:$D$305,"&lt;&gt;Proposed"),0)</f>
        <v/>
      </c>
      <c r="W107" s="28">
        <f>IF(AND($A107&lt;&gt;"",$B107="Program"),COUNTIFS($C$6:$C$305,$A107,$B$6:$B$305,"Project",$D$6:$D$305,"&lt;&gt;Proposed")-COUNTIFS($C$6:$C$305,$A107,$B$6:$B$305,"Project",$D$6:$D$305,"&lt;&gt;Proposed",$J$6:$J$305,"&gt;=0"),0)</f>
        <v/>
      </c>
      <c r="X107" s="28">
        <f>IF(OR($Q107=0,$H107="",$AF107="Sprint"),0,IF(AND($B107="Project",$H107&lt;TODAY()),3,IF($U107="",0,IF($U107&lt;=$H107,1,IF(NETWORKDAYS($H107,$U107)-1&gt;IF($B107="Program",Checks!$B$7,Checks!$B$6),3,2)))))</f>
        <v/>
      </c>
      <c r="Y107" s="28">
        <f>IF(OR($Q107=0,$K107="",$K107=0,$AF107="Sprint"),0,IF(AND($B107="Project",$J107=""),0,IF(IF($B107="Program",$V107,$J107)&gt;$K107*(1+Checks!$B$8),3,IF(IF($B107="Program",$V107,$J107)&gt;$K107,2,IF(AND($B107="Program",OR($W107&gt;0,$V107=0)),0,1)))))</f>
        <v/>
      </c>
      <c r="Z107" s="28">
        <f>IF($A107="",0,IF($C107="Portfolio",1,IF(AND($B107="Project",$C107&lt;&gt;"",$C107&lt;&gt;"Outside the portfolio"),IFERROR(IF(AND(INDEX($B$6:$B$305,MATCH($C107,$A$6:$A$305,0))="Program",INDEX($C$6:$C$305,MATCH($C107,$A$6:$A$305,0))="Portfolio"),1,0),0),0)))</f>
        <v/>
      </c>
      <c r="AA107" s="28">
        <f>IF(AND($A107&lt;&gt;"",$E107="",OR($Q107=1,$D107="Proposed")),1,0)</f>
        <v/>
      </c>
      <c r="AB107" s="28">
        <f>IF(AND($A107&lt;&gt;"",$B107="Program",$F107="",$Q107=1),1,0)</f>
        <v/>
      </c>
      <c r="AC107" s="28">
        <f>IF(OR($A107="",$D107="Completed",$D107="Terminated"),0,IF($C107="",1,IF($C107="Portfolio",0,IF($C107="Outside the portfolio",IF($Q107=1,2,0),IF($B107="Project",IF(IFERROR(INDEX($B$6:$B$305,MATCH($C107,$A$6:$A$305,0)),"")="Program",0,1),1)))))</f>
        <v/>
      </c>
      <c r="AD107" s="28">
        <f>IF(AND($A107&lt;&gt;"",OR($M107="■ Red",$M107="◧ Amber"),$L107=""),1,0)</f>
        <v/>
      </c>
      <c r="AE107" s="28">
        <f>$AA107+$AB107+IF($AC107&gt;0,1,0)+$AD107+$AG107+$AH107</f>
        <v/>
      </c>
      <c r="AF107" s="25" t="n"/>
      <c r="AG107" s="28">
        <f>IF(AND($A107&lt;&gt;"",$K107&lt;&gt;"",$C107&lt;&gt;"Portfolio",$D107&lt;&gt;"Completed",$D107&lt;&gt;"Terminated"),1,0)</f>
        <v/>
      </c>
      <c r="AH107" s="28">
        <f>IF(AND($A107&lt;&gt;"",COUNTIF($A$6:$A$305,$A107)&gt;1),1,0)</f>
        <v/>
      </c>
      <c r="AI107" s="28">
        <f>IF(AND($A107&lt;&gt;"",$C107="Portfolio"),COUNTIFS($C$6:$C107,"Portfolio",$A$6:$A107,"&lt;&gt;"),"")</f>
        <v/>
      </c>
    </row>
    <row r="108">
      <c r="A108" s="25" t="n"/>
      <c r="B108" s="25" t="n"/>
      <c r="C108" s="25" t="n"/>
      <c r="D108" s="25" t="n"/>
      <c r="E108" s="25" t="n"/>
      <c r="F108" s="25" t="n"/>
      <c r="G108" s="25" t="n"/>
      <c r="H108" s="26" t="n"/>
      <c r="I108" s="26" t="n"/>
      <c r="J108" s="27" t="n"/>
      <c r="K108" s="27" t="n"/>
      <c r="L108" s="23" t="n"/>
      <c r="M108" s="28">
        <f>IF($A108="","",IF($D108="","Not read",IF($Q108=0,"Not counted",IF(MAX($X108,$Y108)=3,"■ Red",IF(MAX($X108,$Y108)=2,"◧ Amber",IF(MAX($X108,$Y108)=1,"□ On track","Not read"))))))</f>
        <v/>
      </c>
      <c r="N108" s="28">
        <f>IF(OR($A108="",$B108&lt;&gt;"Program"),"","■ "&amp;COUNTIFS($C$6:$C$305,$A108,$M$6:$M$305,"■ Red")&amp;" Red, ◧ "&amp;COUNTIFS($C$6:$C$305,$A108,$M$6:$M$305,"◧ Amber")&amp;" Amber")</f>
        <v/>
      </c>
      <c r="O108" s="29">
        <f>IF(OR($A108="",$E108=""),"",COUNTIFS($E$6:$E$305,$E108,$D$6:$D$305,"Active")+COUNTIFS($E$6:$E$305,$E108,$D$6:$D$305,"Paused"))</f>
        <v/>
      </c>
      <c r="P108" s="28">
        <f>IF($A108="","",IF($AE108=0,"○ Clear",IF($AA108=1,"△ No owner",IF($AC108=1,"△ Check Sits under",IF($AC108=2,"△ Outside the portfolio",IF($AB108=1,"△ No sponsor",IF($AH108=1,"△ Name used twice",IF($AG108=1,"△ Budget only counts under Portfolio","△ No variance note"))))))&amp;IF($AE108&gt;1," (+"&amp;($AE108-1)&amp;" more)","")))</f>
        <v/>
      </c>
      <c r="Q108" s="28">
        <f>IF(AND($A108&lt;&gt;"",OR($D108="Active",$D108="Paused")),1,0)</f>
        <v/>
      </c>
      <c r="R108" s="28">
        <f>IFERROR(INDEX($A$6:$A$305,MATCH(101,$S$6:$S$305,0)),"")</f>
        <v/>
      </c>
      <c r="S108" s="28">
        <f>IF(AND($A108&lt;&gt;"",$B108="Program"),COUNTIFS($B$6:$B108,"Program",$A$6:$A108,"&lt;&gt;"),"")</f>
        <v/>
      </c>
      <c r="T108" s="30">
        <f>IF(AND($A108&lt;&gt;"",$B108="Program"),SUMPRODUCT(MAX(($C$6:$C$305=$A108)*($B$6:$B$305="Project")*($D$6:$D$305&lt;&gt;"Proposed")*$I$6:$I$305)),0)</f>
        <v/>
      </c>
      <c r="U108" s="30">
        <f>IF($I108&lt;&gt;"",$I108,IF($T108&gt;0,$T108,""))</f>
        <v/>
      </c>
      <c r="V108" s="28">
        <f>IF(AND($A108&lt;&gt;"",$B108="Program"),SUMIFS($J$6:$J$305,$C$6:$C$305,$A108,$B$6:$B$305,"Project",$D$6:$D$305,"&lt;&gt;Proposed"),0)</f>
        <v/>
      </c>
      <c r="W108" s="28">
        <f>IF(AND($A108&lt;&gt;"",$B108="Program"),COUNTIFS($C$6:$C$305,$A108,$B$6:$B$305,"Project",$D$6:$D$305,"&lt;&gt;Proposed")-COUNTIFS($C$6:$C$305,$A108,$B$6:$B$305,"Project",$D$6:$D$305,"&lt;&gt;Proposed",$J$6:$J$305,"&gt;=0"),0)</f>
        <v/>
      </c>
      <c r="X108" s="28">
        <f>IF(OR($Q108=0,$H108="",$AF108="Sprint"),0,IF(AND($B108="Project",$H108&lt;TODAY()),3,IF($U108="",0,IF($U108&lt;=$H108,1,IF(NETWORKDAYS($H108,$U108)-1&gt;IF($B108="Program",Checks!$B$7,Checks!$B$6),3,2)))))</f>
        <v/>
      </c>
      <c r="Y108" s="28">
        <f>IF(OR($Q108=0,$K108="",$K108=0,$AF108="Sprint"),0,IF(AND($B108="Project",$J108=""),0,IF(IF($B108="Program",$V108,$J108)&gt;$K108*(1+Checks!$B$8),3,IF(IF($B108="Program",$V108,$J108)&gt;$K108,2,IF(AND($B108="Program",OR($W108&gt;0,$V108=0)),0,1)))))</f>
        <v/>
      </c>
      <c r="Z108" s="28">
        <f>IF($A108="",0,IF($C108="Portfolio",1,IF(AND($B108="Project",$C108&lt;&gt;"",$C108&lt;&gt;"Outside the portfolio"),IFERROR(IF(AND(INDEX($B$6:$B$305,MATCH($C108,$A$6:$A$305,0))="Program",INDEX($C$6:$C$305,MATCH($C108,$A$6:$A$305,0))="Portfolio"),1,0),0),0)))</f>
        <v/>
      </c>
      <c r="AA108" s="28">
        <f>IF(AND($A108&lt;&gt;"",$E108="",OR($Q108=1,$D108="Proposed")),1,0)</f>
        <v/>
      </c>
      <c r="AB108" s="28">
        <f>IF(AND($A108&lt;&gt;"",$B108="Program",$F108="",$Q108=1),1,0)</f>
        <v/>
      </c>
      <c r="AC108" s="28">
        <f>IF(OR($A108="",$D108="Completed",$D108="Terminated"),0,IF($C108="",1,IF($C108="Portfolio",0,IF($C108="Outside the portfolio",IF($Q108=1,2,0),IF($B108="Project",IF(IFERROR(INDEX($B$6:$B$305,MATCH($C108,$A$6:$A$305,0)),"")="Program",0,1),1)))))</f>
        <v/>
      </c>
      <c r="AD108" s="28">
        <f>IF(AND($A108&lt;&gt;"",OR($M108="■ Red",$M108="◧ Amber"),$L108=""),1,0)</f>
        <v/>
      </c>
      <c r="AE108" s="28">
        <f>$AA108+$AB108+IF($AC108&gt;0,1,0)+$AD108+$AG108+$AH108</f>
        <v/>
      </c>
      <c r="AF108" s="25" t="n"/>
      <c r="AG108" s="28">
        <f>IF(AND($A108&lt;&gt;"",$K108&lt;&gt;"",$C108&lt;&gt;"Portfolio",$D108&lt;&gt;"Completed",$D108&lt;&gt;"Terminated"),1,0)</f>
        <v/>
      </c>
      <c r="AH108" s="28">
        <f>IF(AND($A108&lt;&gt;"",COUNTIF($A$6:$A$305,$A108)&gt;1),1,0)</f>
        <v/>
      </c>
      <c r="AI108" s="28">
        <f>IF(AND($A108&lt;&gt;"",$C108="Portfolio"),COUNTIFS($C$6:$C108,"Portfolio",$A$6:$A108,"&lt;&gt;"),"")</f>
        <v/>
      </c>
    </row>
    <row r="109">
      <c r="A109" s="25" t="n"/>
      <c r="B109" s="25" t="n"/>
      <c r="C109" s="25" t="n"/>
      <c r="D109" s="25" t="n"/>
      <c r="E109" s="25" t="n"/>
      <c r="F109" s="25" t="n"/>
      <c r="G109" s="25" t="n"/>
      <c r="H109" s="26" t="n"/>
      <c r="I109" s="26" t="n"/>
      <c r="J109" s="27" t="n"/>
      <c r="K109" s="27" t="n"/>
      <c r="L109" s="23" t="n"/>
      <c r="M109" s="28">
        <f>IF($A109="","",IF($D109="","Not read",IF($Q109=0,"Not counted",IF(MAX($X109,$Y109)=3,"■ Red",IF(MAX($X109,$Y109)=2,"◧ Amber",IF(MAX($X109,$Y109)=1,"□ On track","Not read"))))))</f>
        <v/>
      </c>
      <c r="N109" s="28">
        <f>IF(OR($A109="",$B109&lt;&gt;"Program"),"","■ "&amp;COUNTIFS($C$6:$C$305,$A109,$M$6:$M$305,"■ Red")&amp;" Red, ◧ "&amp;COUNTIFS($C$6:$C$305,$A109,$M$6:$M$305,"◧ Amber")&amp;" Amber")</f>
        <v/>
      </c>
      <c r="O109" s="29">
        <f>IF(OR($A109="",$E109=""),"",COUNTIFS($E$6:$E$305,$E109,$D$6:$D$305,"Active")+COUNTIFS($E$6:$E$305,$E109,$D$6:$D$305,"Paused"))</f>
        <v/>
      </c>
      <c r="P109" s="28">
        <f>IF($A109="","",IF($AE109=0,"○ Clear",IF($AA109=1,"△ No owner",IF($AC109=1,"△ Check Sits under",IF($AC109=2,"△ Outside the portfolio",IF($AB109=1,"△ No sponsor",IF($AH109=1,"△ Name used twice",IF($AG109=1,"△ Budget only counts under Portfolio","△ No variance note"))))))&amp;IF($AE109&gt;1," (+"&amp;($AE109-1)&amp;" more)","")))</f>
        <v/>
      </c>
      <c r="Q109" s="28">
        <f>IF(AND($A109&lt;&gt;"",OR($D109="Active",$D109="Paused")),1,0)</f>
        <v/>
      </c>
      <c r="R109" s="28">
        <f>IFERROR(INDEX($A$6:$A$305,MATCH(102,$S$6:$S$305,0)),"")</f>
        <v/>
      </c>
      <c r="S109" s="28">
        <f>IF(AND($A109&lt;&gt;"",$B109="Program"),COUNTIFS($B$6:$B109,"Program",$A$6:$A109,"&lt;&gt;"),"")</f>
        <v/>
      </c>
      <c r="T109" s="30">
        <f>IF(AND($A109&lt;&gt;"",$B109="Program"),SUMPRODUCT(MAX(($C$6:$C$305=$A109)*($B$6:$B$305="Project")*($D$6:$D$305&lt;&gt;"Proposed")*$I$6:$I$305)),0)</f>
        <v/>
      </c>
      <c r="U109" s="30">
        <f>IF($I109&lt;&gt;"",$I109,IF($T109&gt;0,$T109,""))</f>
        <v/>
      </c>
      <c r="V109" s="28">
        <f>IF(AND($A109&lt;&gt;"",$B109="Program"),SUMIFS($J$6:$J$305,$C$6:$C$305,$A109,$B$6:$B$305,"Project",$D$6:$D$305,"&lt;&gt;Proposed"),0)</f>
        <v/>
      </c>
      <c r="W109" s="28">
        <f>IF(AND($A109&lt;&gt;"",$B109="Program"),COUNTIFS($C$6:$C$305,$A109,$B$6:$B$305,"Project",$D$6:$D$305,"&lt;&gt;Proposed")-COUNTIFS($C$6:$C$305,$A109,$B$6:$B$305,"Project",$D$6:$D$305,"&lt;&gt;Proposed",$J$6:$J$305,"&gt;=0"),0)</f>
        <v/>
      </c>
      <c r="X109" s="28">
        <f>IF(OR($Q109=0,$H109="",$AF109="Sprint"),0,IF(AND($B109="Project",$H109&lt;TODAY()),3,IF($U109="",0,IF($U109&lt;=$H109,1,IF(NETWORKDAYS($H109,$U109)-1&gt;IF($B109="Program",Checks!$B$7,Checks!$B$6),3,2)))))</f>
        <v/>
      </c>
      <c r="Y109" s="28">
        <f>IF(OR($Q109=0,$K109="",$K109=0,$AF109="Sprint"),0,IF(AND($B109="Project",$J109=""),0,IF(IF($B109="Program",$V109,$J109)&gt;$K109*(1+Checks!$B$8),3,IF(IF($B109="Program",$V109,$J109)&gt;$K109,2,IF(AND($B109="Program",OR($W109&gt;0,$V109=0)),0,1)))))</f>
        <v/>
      </c>
      <c r="Z109" s="28">
        <f>IF($A109="",0,IF($C109="Portfolio",1,IF(AND($B109="Project",$C109&lt;&gt;"",$C109&lt;&gt;"Outside the portfolio"),IFERROR(IF(AND(INDEX($B$6:$B$305,MATCH($C109,$A$6:$A$305,0))="Program",INDEX($C$6:$C$305,MATCH($C109,$A$6:$A$305,0))="Portfolio"),1,0),0),0)))</f>
        <v/>
      </c>
      <c r="AA109" s="28">
        <f>IF(AND($A109&lt;&gt;"",$E109="",OR($Q109=1,$D109="Proposed")),1,0)</f>
        <v/>
      </c>
      <c r="AB109" s="28">
        <f>IF(AND($A109&lt;&gt;"",$B109="Program",$F109="",$Q109=1),1,0)</f>
        <v/>
      </c>
      <c r="AC109" s="28">
        <f>IF(OR($A109="",$D109="Completed",$D109="Terminated"),0,IF($C109="",1,IF($C109="Portfolio",0,IF($C109="Outside the portfolio",IF($Q109=1,2,0),IF($B109="Project",IF(IFERROR(INDEX($B$6:$B$305,MATCH($C109,$A$6:$A$305,0)),"")="Program",0,1),1)))))</f>
        <v/>
      </c>
      <c r="AD109" s="28">
        <f>IF(AND($A109&lt;&gt;"",OR($M109="■ Red",$M109="◧ Amber"),$L109=""),1,0)</f>
        <v/>
      </c>
      <c r="AE109" s="28">
        <f>$AA109+$AB109+IF($AC109&gt;0,1,0)+$AD109+$AG109+$AH109</f>
        <v/>
      </c>
      <c r="AF109" s="25" t="n"/>
      <c r="AG109" s="28">
        <f>IF(AND($A109&lt;&gt;"",$K109&lt;&gt;"",$C109&lt;&gt;"Portfolio",$D109&lt;&gt;"Completed",$D109&lt;&gt;"Terminated"),1,0)</f>
        <v/>
      </c>
      <c r="AH109" s="28">
        <f>IF(AND($A109&lt;&gt;"",COUNTIF($A$6:$A$305,$A109)&gt;1),1,0)</f>
        <v/>
      </c>
      <c r="AI109" s="28">
        <f>IF(AND($A109&lt;&gt;"",$C109="Portfolio"),COUNTIFS($C$6:$C109,"Portfolio",$A$6:$A109,"&lt;&gt;"),"")</f>
        <v/>
      </c>
    </row>
    <row r="110">
      <c r="A110" s="25" t="n"/>
      <c r="B110" s="25" t="n"/>
      <c r="C110" s="25" t="n"/>
      <c r="D110" s="25" t="n"/>
      <c r="E110" s="25" t="n"/>
      <c r="F110" s="25" t="n"/>
      <c r="G110" s="25" t="n"/>
      <c r="H110" s="26" t="n"/>
      <c r="I110" s="26" t="n"/>
      <c r="J110" s="27" t="n"/>
      <c r="K110" s="27" t="n"/>
      <c r="L110" s="23" t="n"/>
      <c r="M110" s="28">
        <f>IF($A110="","",IF($D110="","Not read",IF($Q110=0,"Not counted",IF(MAX($X110,$Y110)=3,"■ Red",IF(MAX($X110,$Y110)=2,"◧ Amber",IF(MAX($X110,$Y110)=1,"□ On track","Not read"))))))</f>
        <v/>
      </c>
      <c r="N110" s="28">
        <f>IF(OR($A110="",$B110&lt;&gt;"Program"),"","■ "&amp;COUNTIFS($C$6:$C$305,$A110,$M$6:$M$305,"■ Red")&amp;" Red, ◧ "&amp;COUNTIFS($C$6:$C$305,$A110,$M$6:$M$305,"◧ Amber")&amp;" Amber")</f>
        <v/>
      </c>
      <c r="O110" s="29">
        <f>IF(OR($A110="",$E110=""),"",COUNTIFS($E$6:$E$305,$E110,$D$6:$D$305,"Active")+COUNTIFS($E$6:$E$305,$E110,$D$6:$D$305,"Paused"))</f>
        <v/>
      </c>
      <c r="P110" s="28">
        <f>IF($A110="","",IF($AE110=0,"○ Clear",IF($AA110=1,"△ No owner",IF($AC110=1,"△ Check Sits under",IF($AC110=2,"△ Outside the portfolio",IF($AB110=1,"△ No sponsor",IF($AH110=1,"△ Name used twice",IF($AG110=1,"△ Budget only counts under Portfolio","△ No variance note"))))))&amp;IF($AE110&gt;1," (+"&amp;($AE110-1)&amp;" more)","")))</f>
        <v/>
      </c>
      <c r="Q110" s="28">
        <f>IF(AND($A110&lt;&gt;"",OR($D110="Active",$D110="Paused")),1,0)</f>
        <v/>
      </c>
      <c r="R110" s="28">
        <f>IFERROR(INDEX($A$6:$A$305,MATCH(103,$S$6:$S$305,0)),"")</f>
        <v/>
      </c>
      <c r="S110" s="28">
        <f>IF(AND($A110&lt;&gt;"",$B110="Program"),COUNTIFS($B$6:$B110,"Program",$A$6:$A110,"&lt;&gt;"),"")</f>
        <v/>
      </c>
      <c r="T110" s="30">
        <f>IF(AND($A110&lt;&gt;"",$B110="Program"),SUMPRODUCT(MAX(($C$6:$C$305=$A110)*($B$6:$B$305="Project")*($D$6:$D$305&lt;&gt;"Proposed")*$I$6:$I$305)),0)</f>
        <v/>
      </c>
      <c r="U110" s="30">
        <f>IF($I110&lt;&gt;"",$I110,IF($T110&gt;0,$T110,""))</f>
        <v/>
      </c>
      <c r="V110" s="28">
        <f>IF(AND($A110&lt;&gt;"",$B110="Program"),SUMIFS($J$6:$J$305,$C$6:$C$305,$A110,$B$6:$B$305,"Project",$D$6:$D$305,"&lt;&gt;Proposed"),0)</f>
        <v/>
      </c>
      <c r="W110" s="28">
        <f>IF(AND($A110&lt;&gt;"",$B110="Program"),COUNTIFS($C$6:$C$305,$A110,$B$6:$B$305,"Project",$D$6:$D$305,"&lt;&gt;Proposed")-COUNTIFS($C$6:$C$305,$A110,$B$6:$B$305,"Project",$D$6:$D$305,"&lt;&gt;Proposed",$J$6:$J$305,"&gt;=0"),0)</f>
        <v/>
      </c>
      <c r="X110" s="28">
        <f>IF(OR($Q110=0,$H110="",$AF110="Sprint"),0,IF(AND($B110="Project",$H110&lt;TODAY()),3,IF($U110="",0,IF($U110&lt;=$H110,1,IF(NETWORKDAYS($H110,$U110)-1&gt;IF($B110="Program",Checks!$B$7,Checks!$B$6),3,2)))))</f>
        <v/>
      </c>
      <c r="Y110" s="28">
        <f>IF(OR($Q110=0,$K110="",$K110=0,$AF110="Sprint"),0,IF(AND($B110="Project",$J110=""),0,IF(IF($B110="Program",$V110,$J110)&gt;$K110*(1+Checks!$B$8),3,IF(IF($B110="Program",$V110,$J110)&gt;$K110,2,IF(AND($B110="Program",OR($W110&gt;0,$V110=0)),0,1)))))</f>
        <v/>
      </c>
      <c r="Z110" s="28">
        <f>IF($A110="",0,IF($C110="Portfolio",1,IF(AND($B110="Project",$C110&lt;&gt;"",$C110&lt;&gt;"Outside the portfolio"),IFERROR(IF(AND(INDEX($B$6:$B$305,MATCH($C110,$A$6:$A$305,0))="Program",INDEX($C$6:$C$305,MATCH($C110,$A$6:$A$305,0))="Portfolio"),1,0),0),0)))</f>
        <v/>
      </c>
      <c r="AA110" s="28">
        <f>IF(AND($A110&lt;&gt;"",$E110="",OR($Q110=1,$D110="Proposed")),1,0)</f>
        <v/>
      </c>
      <c r="AB110" s="28">
        <f>IF(AND($A110&lt;&gt;"",$B110="Program",$F110="",$Q110=1),1,0)</f>
        <v/>
      </c>
      <c r="AC110" s="28">
        <f>IF(OR($A110="",$D110="Completed",$D110="Terminated"),0,IF($C110="",1,IF($C110="Portfolio",0,IF($C110="Outside the portfolio",IF($Q110=1,2,0),IF($B110="Project",IF(IFERROR(INDEX($B$6:$B$305,MATCH($C110,$A$6:$A$305,0)),"")="Program",0,1),1)))))</f>
        <v/>
      </c>
      <c r="AD110" s="28">
        <f>IF(AND($A110&lt;&gt;"",OR($M110="■ Red",$M110="◧ Amber"),$L110=""),1,0)</f>
        <v/>
      </c>
      <c r="AE110" s="28">
        <f>$AA110+$AB110+IF($AC110&gt;0,1,0)+$AD110+$AG110+$AH110</f>
        <v/>
      </c>
      <c r="AF110" s="25" t="n"/>
      <c r="AG110" s="28">
        <f>IF(AND($A110&lt;&gt;"",$K110&lt;&gt;"",$C110&lt;&gt;"Portfolio",$D110&lt;&gt;"Completed",$D110&lt;&gt;"Terminated"),1,0)</f>
        <v/>
      </c>
      <c r="AH110" s="28">
        <f>IF(AND($A110&lt;&gt;"",COUNTIF($A$6:$A$305,$A110)&gt;1),1,0)</f>
        <v/>
      </c>
      <c r="AI110" s="28">
        <f>IF(AND($A110&lt;&gt;"",$C110="Portfolio"),COUNTIFS($C$6:$C110,"Portfolio",$A$6:$A110,"&lt;&gt;"),"")</f>
        <v/>
      </c>
    </row>
    <row r="111">
      <c r="A111" s="25" t="n"/>
      <c r="B111" s="25" t="n"/>
      <c r="C111" s="25" t="n"/>
      <c r="D111" s="25" t="n"/>
      <c r="E111" s="25" t="n"/>
      <c r="F111" s="25" t="n"/>
      <c r="G111" s="25" t="n"/>
      <c r="H111" s="26" t="n"/>
      <c r="I111" s="26" t="n"/>
      <c r="J111" s="27" t="n"/>
      <c r="K111" s="27" t="n"/>
      <c r="L111" s="23" t="n"/>
      <c r="M111" s="28">
        <f>IF($A111="","",IF($D111="","Not read",IF($Q111=0,"Not counted",IF(MAX($X111,$Y111)=3,"■ Red",IF(MAX($X111,$Y111)=2,"◧ Amber",IF(MAX($X111,$Y111)=1,"□ On track","Not read"))))))</f>
        <v/>
      </c>
      <c r="N111" s="28">
        <f>IF(OR($A111="",$B111&lt;&gt;"Program"),"","■ "&amp;COUNTIFS($C$6:$C$305,$A111,$M$6:$M$305,"■ Red")&amp;" Red, ◧ "&amp;COUNTIFS($C$6:$C$305,$A111,$M$6:$M$305,"◧ Amber")&amp;" Amber")</f>
        <v/>
      </c>
      <c r="O111" s="29">
        <f>IF(OR($A111="",$E111=""),"",COUNTIFS($E$6:$E$305,$E111,$D$6:$D$305,"Active")+COUNTIFS($E$6:$E$305,$E111,$D$6:$D$305,"Paused"))</f>
        <v/>
      </c>
      <c r="P111" s="28">
        <f>IF($A111="","",IF($AE111=0,"○ Clear",IF($AA111=1,"△ No owner",IF($AC111=1,"△ Check Sits under",IF($AC111=2,"△ Outside the portfolio",IF($AB111=1,"△ No sponsor",IF($AH111=1,"△ Name used twice",IF($AG111=1,"△ Budget only counts under Portfolio","△ No variance note"))))))&amp;IF($AE111&gt;1," (+"&amp;($AE111-1)&amp;" more)","")))</f>
        <v/>
      </c>
      <c r="Q111" s="28">
        <f>IF(AND($A111&lt;&gt;"",OR($D111="Active",$D111="Paused")),1,0)</f>
        <v/>
      </c>
      <c r="R111" s="28">
        <f>IFERROR(INDEX($A$6:$A$305,MATCH(104,$S$6:$S$305,0)),"")</f>
        <v/>
      </c>
      <c r="S111" s="28">
        <f>IF(AND($A111&lt;&gt;"",$B111="Program"),COUNTIFS($B$6:$B111,"Program",$A$6:$A111,"&lt;&gt;"),"")</f>
        <v/>
      </c>
      <c r="T111" s="30">
        <f>IF(AND($A111&lt;&gt;"",$B111="Program"),SUMPRODUCT(MAX(($C$6:$C$305=$A111)*($B$6:$B$305="Project")*($D$6:$D$305&lt;&gt;"Proposed")*$I$6:$I$305)),0)</f>
        <v/>
      </c>
      <c r="U111" s="30">
        <f>IF($I111&lt;&gt;"",$I111,IF($T111&gt;0,$T111,""))</f>
        <v/>
      </c>
      <c r="V111" s="28">
        <f>IF(AND($A111&lt;&gt;"",$B111="Program"),SUMIFS($J$6:$J$305,$C$6:$C$305,$A111,$B$6:$B$305,"Project",$D$6:$D$305,"&lt;&gt;Proposed"),0)</f>
        <v/>
      </c>
      <c r="W111" s="28">
        <f>IF(AND($A111&lt;&gt;"",$B111="Program"),COUNTIFS($C$6:$C$305,$A111,$B$6:$B$305,"Project",$D$6:$D$305,"&lt;&gt;Proposed")-COUNTIFS($C$6:$C$305,$A111,$B$6:$B$305,"Project",$D$6:$D$305,"&lt;&gt;Proposed",$J$6:$J$305,"&gt;=0"),0)</f>
        <v/>
      </c>
      <c r="X111" s="28">
        <f>IF(OR($Q111=0,$H111="",$AF111="Sprint"),0,IF(AND($B111="Project",$H111&lt;TODAY()),3,IF($U111="",0,IF($U111&lt;=$H111,1,IF(NETWORKDAYS($H111,$U111)-1&gt;IF($B111="Program",Checks!$B$7,Checks!$B$6),3,2)))))</f>
        <v/>
      </c>
      <c r="Y111" s="28">
        <f>IF(OR($Q111=0,$K111="",$K111=0,$AF111="Sprint"),0,IF(AND($B111="Project",$J111=""),0,IF(IF($B111="Program",$V111,$J111)&gt;$K111*(1+Checks!$B$8),3,IF(IF($B111="Program",$V111,$J111)&gt;$K111,2,IF(AND($B111="Program",OR($W111&gt;0,$V111=0)),0,1)))))</f>
        <v/>
      </c>
      <c r="Z111" s="28">
        <f>IF($A111="",0,IF($C111="Portfolio",1,IF(AND($B111="Project",$C111&lt;&gt;"",$C111&lt;&gt;"Outside the portfolio"),IFERROR(IF(AND(INDEX($B$6:$B$305,MATCH($C111,$A$6:$A$305,0))="Program",INDEX($C$6:$C$305,MATCH($C111,$A$6:$A$305,0))="Portfolio"),1,0),0),0)))</f>
        <v/>
      </c>
      <c r="AA111" s="28">
        <f>IF(AND($A111&lt;&gt;"",$E111="",OR($Q111=1,$D111="Proposed")),1,0)</f>
        <v/>
      </c>
      <c r="AB111" s="28">
        <f>IF(AND($A111&lt;&gt;"",$B111="Program",$F111="",$Q111=1),1,0)</f>
        <v/>
      </c>
      <c r="AC111" s="28">
        <f>IF(OR($A111="",$D111="Completed",$D111="Terminated"),0,IF($C111="",1,IF($C111="Portfolio",0,IF($C111="Outside the portfolio",IF($Q111=1,2,0),IF($B111="Project",IF(IFERROR(INDEX($B$6:$B$305,MATCH($C111,$A$6:$A$305,0)),"")="Program",0,1),1)))))</f>
        <v/>
      </c>
      <c r="AD111" s="28">
        <f>IF(AND($A111&lt;&gt;"",OR($M111="■ Red",$M111="◧ Amber"),$L111=""),1,0)</f>
        <v/>
      </c>
      <c r="AE111" s="28">
        <f>$AA111+$AB111+IF($AC111&gt;0,1,0)+$AD111+$AG111+$AH111</f>
        <v/>
      </c>
      <c r="AF111" s="25" t="n"/>
      <c r="AG111" s="28">
        <f>IF(AND($A111&lt;&gt;"",$K111&lt;&gt;"",$C111&lt;&gt;"Portfolio",$D111&lt;&gt;"Completed",$D111&lt;&gt;"Terminated"),1,0)</f>
        <v/>
      </c>
      <c r="AH111" s="28">
        <f>IF(AND($A111&lt;&gt;"",COUNTIF($A$6:$A$305,$A111)&gt;1),1,0)</f>
        <v/>
      </c>
      <c r="AI111" s="28">
        <f>IF(AND($A111&lt;&gt;"",$C111="Portfolio"),COUNTIFS($C$6:$C111,"Portfolio",$A$6:$A111,"&lt;&gt;"),"")</f>
        <v/>
      </c>
    </row>
    <row r="112">
      <c r="A112" s="25" t="n"/>
      <c r="B112" s="25" t="n"/>
      <c r="C112" s="25" t="n"/>
      <c r="D112" s="25" t="n"/>
      <c r="E112" s="25" t="n"/>
      <c r="F112" s="25" t="n"/>
      <c r="G112" s="25" t="n"/>
      <c r="H112" s="26" t="n"/>
      <c r="I112" s="26" t="n"/>
      <c r="J112" s="27" t="n"/>
      <c r="K112" s="27" t="n"/>
      <c r="L112" s="23" t="n"/>
      <c r="M112" s="28">
        <f>IF($A112="","",IF($D112="","Not read",IF($Q112=0,"Not counted",IF(MAX($X112,$Y112)=3,"■ Red",IF(MAX($X112,$Y112)=2,"◧ Amber",IF(MAX($X112,$Y112)=1,"□ On track","Not read"))))))</f>
        <v/>
      </c>
      <c r="N112" s="28">
        <f>IF(OR($A112="",$B112&lt;&gt;"Program"),"","■ "&amp;COUNTIFS($C$6:$C$305,$A112,$M$6:$M$305,"■ Red")&amp;" Red, ◧ "&amp;COUNTIFS($C$6:$C$305,$A112,$M$6:$M$305,"◧ Amber")&amp;" Amber")</f>
        <v/>
      </c>
      <c r="O112" s="29">
        <f>IF(OR($A112="",$E112=""),"",COUNTIFS($E$6:$E$305,$E112,$D$6:$D$305,"Active")+COUNTIFS($E$6:$E$305,$E112,$D$6:$D$305,"Paused"))</f>
        <v/>
      </c>
      <c r="P112" s="28">
        <f>IF($A112="","",IF($AE112=0,"○ Clear",IF($AA112=1,"△ No owner",IF($AC112=1,"△ Check Sits under",IF($AC112=2,"△ Outside the portfolio",IF($AB112=1,"△ No sponsor",IF($AH112=1,"△ Name used twice",IF($AG112=1,"△ Budget only counts under Portfolio","△ No variance note"))))))&amp;IF($AE112&gt;1," (+"&amp;($AE112-1)&amp;" more)","")))</f>
        <v/>
      </c>
      <c r="Q112" s="28">
        <f>IF(AND($A112&lt;&gt;"",OR($D112="Active",$D112="Paused")),1,0)</f>
        <v/>
      </c>
      <c r="R112" s="28">
        <f>IFERROR(INDEX($A$6:$A$305,MATCH(105,$S$6:$S$305,0)),"")</f>
        <v/>
      </c>
      <c r="S112" s="28">
        <f>IF(AND($A112&lt;&gt;"",$B112="Program"),COUNTIFS($B$6:$B112,"Program",$A$6:$A112,"&lt;&gt;"),"")</f>
        <v/>
      </c>
      <c r="T112" s="30">
        <f>IF(AND($A112&lt;&gt;"",$B112="Program"),SUMPRODUCT(MAX(($C$6:$C$305=$A112)*($B$6:$B$305="Project")*($D$6:$D$305&lt;&gt;"Proposed")*$I$6:$I$305)),0)</f>
        <v/>
      </c>
      <c r="U112" s="30">
        <f>IF($I112&lt;&gt;"",$I112,IF($T112&gt;0,$T112,""))</f>
        <v/>
      </c>
      <c r="V112" s="28">
        <f>IF(AND($A112&lt;&gt;"",$B112="Program"),SUMIFS($J$6:$J$305,$C$6:$C$305,$A112,$B$6:$B$305,"Project",$D$6:$D$305,"&lt;&gt;Proposed"),0)</f>
        <v/>
      </c>
      <c r="W112" s="28">
        <f>IF(AND($A112&lt;&gt;"",$B112="Program"),COUNTIFS($C$6:$C$305,$A112,$B$6:$B$305,"Project",$D$6:$D$305,"&lt;&gt;Proposed")-COUNTIFS($C$6:$C$305,$A112,$B$6:$B$305,"Project",$D$6:$D$305,"&lt;&gt;Proposed",$J$6:$J$305,"&gt;=0"),0)</f>
        <v/>
      </c>
      <c r="X112" s="28">
        <f>IF(OR($Q112=0,$H112="",$AF112="Sprint"),0,IF(AND($B112="Project",$H112&lt;TODAY()),3,IF($U112="",0,IF($U112&lt;=$H112,1,IF(NETWORKDAYS($H112,$U112)-1&gt;IF($B112="Program",Checks!$B$7,Checks!$B$6),3,2)))))</f>
        <v/>
      </c>
      <c r="Y112" s="28">
        <f>IF(OR($Q112=0,$K112="",$K112=0,$AF112="Sprint"),0,IF(AND($B112="Project",$J112=""),0,IF(IF($B112="Program",$V112,$J112)&gt;$K112*(1+Checks!$B$8),3,IF(IF($B112="Program",$V112,$J112)&gt;$K112,2,IF(AND($B112="Program",OR($W112&gt;0,$V112=0)),0,1)))))</f>
        <v/>
      </c>
      <c r="Z112" s="28">
        <f>IF($A112="",0,IF($C112="Portfolio",1,IF(AND($B112="Project",$C112&lt;&gt;"",$C112&lt;&gt;"Outside the portfolio"),IFERROR(IF(AND(INDEX($B$6:$B$305,MATCH($C112,$A$6:$A$305,0))="Program",INDEX($C$6:$C$305,MATCH($C112,$A$6:$A$305,0))="Portfolio"),1,0),0),0)))</f>
        <v/>
      </c>
      <c r="AA112" s="28">
        <f>IF(AND($A112&lt;&gt;"",$E112="",OR($Q112=1,$D112="Proposed")),1,0)</f>
        <v/>
      </c>
      <c r="AB112" s="28">
        <f>IF(AND($A112&lt;&gt;"",$B112="Program",$F112="",$Q112=1),1,0)</f>
        <v/>
      </c>
      <c r="AC112" s="28">
        <f>IF(OR($A112="",$D112="Completed",$D112="Terminated"),0,IF($C112="",1,IF($C112="Portfolio",0,IF($C112="Outside the portfolio",IF($Q112=1,2,0),IF($B112="Project",IF(IFERROR(INDEX($B$6:$B$305,MATCH($C112,$A$6:$A$305,0)),"")="Program",0,1),1)))))</f>
        <v/>
      </c>
      <c r="AD112" s="28">
        <f>IF(AND($A112&lt;&gt;"",OR($M112="■ Red",$M112="◧ Amber"),$L112=""),1,0)</f>
        <v/>
      </c>
      <c r="AE112" s="28">
        <f>$AA112+$AB112+IF($AC112&gt;0,1,0)+$AD112+$AG112+$AH112</f>
        <v/>
      </c>
      <c r="AF112" s="25" t="n"/>
      <c r="AG112" s="28">
        <f>IF(AND($A112&lt;&gt;"",$K112&lt;&gt;"",$C112&lt;&gt;"Portfolio",$D112&lt;&gt;"Completed",$D112&lt;&gt;"Terminated"),1,0)</f>
        <v/>
      </c>
      <c r="AH112" s="28">
        <f>IF(AND($A112&lt;&gt;"",COUNTIF($A$6:$A$305,$A112)&gt;1),1,0)</f>
        <v/>
      </c>
      <c r="AI112" s="28">
        <f>IF(AND($A112&lt;&gt;"",$C112="Portfolio"),COUNTIFS($C$6:$C112,"Portfolio",$A$6:$A112,"&lt;&gt;"),"")</f>
        <v/>
      </c>
    </row>
    <row r="113">
      <c r="A113" s="25" t="n"/>
      <c r="B113" s="25" t="n"/>
      <c r="C113" s="25" t="n"/>
      <c r="D113" s="25" t="n"/>
      <c r="E113" s="25" t="n"/>
      <c r="F113" s="25" t="n"/>
      <c r="G113" s="25" t="n"/>
      <c r="H113" s="26" t="n"/>
      <c r="I113" s="26" t="n"/>
      <c r="J113" s="27" t="n"/>
      <c r="K113" s="27" t="n"/>
      <c r="L113" s="23" t="n"/>
      <c r="M113" s="28">
        <f>IF($A113="","",IF($D113="","Not read",IF($Q113=0,"Not counted",IF(MAX($X113,$Y113)=3,"■ Red",IF(MAX($X113,$Y113)=2,"◧ Amber",IF(MAX($X113,$Y113)=1,"□ On track","Not read"))))))</f>
        <v/>
      </c>
      <c r="N113" s="28">
        <f>IF(OR($A113="",$B113&lt;&gt;"Program"),"","■ "&amp;COUNTIFS($C$6:$C$305,$A113,$M$6:$M$305,"■ Red")&amp;" Red, ◧ "&amp;COUNTIFS($C$6:$C$305,$A113,$M$6:$M$305,"◧ Amber")&amp;" Amber")</f>
        <v/>
      </c>
      <c r="O113" s="29">
        <f>IF(OR($A113="",$E113=""),"",COUNTIFS($E$6:$E$305,$E113,$D$6:$D$305,"Active")+COUNTIFS($E$6:$E$305,$E113,$D$6:$D$305,"Paused"))</f>
        <v/>
      </c>
      <c r="P113" s="28">
        <f>IF($A113="","",IF($AE113=0,"○ Clear",IF($AA113=1,"△ No owner",IF($AC113=1,"△ Check Sits under",IF($AC113=2,"△ Outside the portfolio",IF($AB113=1,"△ No sponsor",IF($AH113=1,"△ Name used twice",IF($AG113=1,"△ Budget only counts under Portfolio","△ No variance note"))))))&amp;IF($AE113&gt;1," (+"&amp;($AE113-1)&amp;" more)","")))</f>
        <v/>
      </c>
      <c r="Q113" s="28">
        <f>IF(AND($A113&lt;&gt;"",OR($D113="Active",$D113="Paused")),1,0)</f>
        <v/>
      </c>
      <c r="R113" s="28">
        <f>IFERROR(INDEX($A$6:$A$305,MATCH(106,$S$6:$S$305,0)),"")</f>
        <v/>
      </c>
      <c r="S113" s="28">
        <f>IF(AND($A113&lt;&gt;"",$B113="Program"),COUNTIFS($B$6:$B113,"Program",$A$6:$A113,"&lt;&gt;"),"")</f>
        <v/>
      </c>
      <c r="T113" s="30">
        <f>IF(AND($A113&lt;&gt;"",$B113="Program"),SUMPRODUCT(MAX(($C$6:$C$305=$A113)*($B$6:$B$305="Project")*($D$6:$D$305&lt;&gt;"Proposed")*$I$6:$I$305)),0)</f>
        <v/>
      </c>
      <c r="U113" s="30">
        <f>IF($I113&lt;&gt;"",$I113,IF($T113&gt;0,$T113,""))</f>
        <v/>
      </c>
      <c r="V113" s="28">
        <f>IF(AND($A113&lt;&gt;"",$B113="Program"),SUMIFS($J$6:$J$305,$C$6:$C$305,$A113,$B$6:$B$305,"Project",$D$6:$D$305,"&lt;&gt;Proposed"),0)</f>
        <v/>
      </c>
      <c r="W113" s="28">
        <f>IF(AND($A113&lt;&gt;"",$B113="Program"),COUNTIFS($C$6:$C$305,$A113,$B$6:$B$305,"Project",$D$6:$D$305,"&lt;&gt;Proposed")-COUNTIFS($C$6:$C$305,$A113,$B$6:$B$305,"Project",$D$6:$D$305,"&lt;&gt;Proposed",$J$6:$J$305,"&gt;=0"),0)</f>
        <v/>
      </c>
      <c r="X113" s="28">
        <f>IF(OR($Q113=0,$H113="",$AF113="Sprint"),0,IF(AND($B113="Project",$H113&lt;TODAY()),3,IF($U113="",0,IF($U113&lt;=$H113,1,IF(NETWORKDAYS($H113,$U113)-1&gt;IF($B113="Program",Checks!$B$7,Checks!$B$6),3,2)))))</f>
        <v/>
      </c>
      <c r="Y113" s="28">
        <f>IF(OR($Q113=0,$K113="",$K113=0,$AF113="Sprint"),0,IF(AND($B113="Project",$J113=""),0,IF(IF($B113="Program",$V113,$J113)&gt;$K113*(1+Checks!$B$8),3,IF(IF($B113="Program",$V113,$J113)&gt;$K113,2,IF(AND($B113="Program",OR($W113&gt;0,$V113=0)),0,1)))))</f>
        <v/>
      </c>
      <c r="Z113" s="28">
        <f>IF($A113="",0,IF($C113="Portfolio",1,IF(AND($B113="Project",$C113&lt;&gt;"",$C113&lt;&gt;"Outside the portfolio"),IFERROR(IF(AND(INDEX($B$6:$B$305,MATCH($C113,$A$6:$A$305,0))="Program",INDEX($C$6:$C$305,MATCH($C113,$A$6:$A$305,0))="Portfolio"),1,0),0),0)))</f>
        <v/>
      </c>
      <c r="AA113" s="28">
        <f>IF(AND($A113&lt;&gt;"",$E113="",OR($Q113=1,$D113="Proposed")),1,0)</f>
        <v/>
      </c>
      <c r="AB113" s="28">
        <f>IF(AND($A113&lt;&gt;"",$B113="Program",$F113="",$Q113=1),1,0)</f>
        <v/>
      </c>
      <c r="AC113" s="28">
        <f>IF(OR($A113="",$D113="Completed",$D113="Terminated"),0,IF($C113="",1,IF($C113="Portfolio",0,IF($C113="Outside the portfolio",IF($Q113=1,2,0),IF($B113="Project",IF(IFERROR(INDEX($B$6:$B$305,MATCH($C113,$A$6:$A$305,0)),"")="Program",0,1),1)))))</f>
        <v/>
      </c>
      <c r="AD113" s="28">
        <f>IF(AND($A113&lt;&gt;"",OR($M113="■ Red",$M113="◧ Amber"),$L113=""),1,0)</f>
        <v/>
      </c>
      <c r="AE113" s="28">
        <f>$AA113+$AB113+IF($AC113&gt;0,1,0)+$AD113+$AG113+$AH113</f>
        <v/>
      </c>
      <c r="AF113" s="25" t="n"/>
      <c r="AG113" s="28">
        <f>IF(AND($A113&lt;&gt;"",$K113&lt;&gt;"",$C113&lt;&gt;"Portfolio",$D113&lt;&gt;"Completed",$D113&lt;&gt;"Terminated"),1,0)</f>
        <v/>
      </c>
      <c r="AH113" s="28">
        <f>IF(AND($A113&lt;&gt;"",COUNTIF($A$6:$A$305,$A113)&gt;1),1,0)</f>
        <v/>
      </c>
      <c r="AI113" s="28">
        <f>IF(AND($A113&lt;&gt;"",$C113="Portfolio"),COUNTIFS($C$6:$C113,"Portfolio",$A$6:$A113,"&lt;&gt;"),"")</f>
        <v/>
      </c>
    </row>
    <row r="114">
      <c r="A114" s="25" t="n"/>
      <c r="B114" s="25" t="n"/>
      <c r="C114" s="25" t="n"/>
      <c r="D114" s="25" t="n"/>
      <c r="E114" s="25" t="n"/>
      <c r="F114" s="25" t="n"/>
      <c r="G114" s="25" t="n"/>
      <c r="H114" s="26" t="n"/>
      <c r="I114" s="26" t="n"/>
      <c r="J114" s="27" t="n"/>
      <c r="K114" s="27" t="n"/>
      <c r="L114" s="23" t="n"/>
      <c r="M114" s="28">
        <f>IF($A114="","",IF($D114="","Not read",IF($Q114=0,"Not counted",IF(MAX($X114,$Y114)=3,"■ Red",IF(MAX($X114,$Y114)=2,"◧ Amber",IF(MAX($X114,$Y114)=1,"□ On track","Not read"))))))</f>
        <v/>
      </c>
      <c r="N114" s="28">
        <f>IF(OR($A114="",$B114&lt;&gt;"Program"),"","■ "&amp;COUNTIFS($C$6:$C$305,$A114,$M$6:$M$305,"■ Red")&amp;" Red, ◧ "&amp;COUNTIFS($C$6:$C$305,$A114,$M$6:$M$305,"◧ Amber")&amp;" Amber")</f>
        <v/>
      </c>
      <c r="O114" s="29">
        <f>IF(OR($A114="",$E114=""),"",COUNTIFS($E$6:$E$305,$E114,$D$6:$D$305,"Active")+COUNTIFS($E$6:$E$305,$E114,$D$6:$D$305,"Paused"))</f>
        <v/>
      </c>
      <c r="P114" s="28">
        <f>IF($A114="","",IF($AE114=0,"○ Clear",IF($AA114=1,"△ No owner",IF($AC114=1,"△ Check Sits under",IF($AC114=2,"△ Outside the portfolio",IF($AB114=1,"△ No sponsor",IF($AH114=1,"△ Name used twice",IF($AG114=1,"△ Budget only counts under Portfolio","△ No variance note"))))))&amp;IF($AE114&gt;1," (+"&amp;($AE114-1)&amp;" more)","")))</f>
        <v/>
      </c>
      <c r="Q114" s="28">
        <f>IF(AND($A114&lt;&gt;"",OR($D114="Active",$D114="Paused")),1,0)</f>
        <v/>
      </c>
      <c r="R114" s="28">
        <f>IFERROR(INDEX($A$6:$A$305,MATCH(107,$S$6:$S$305,0)),"")</f>
        <v/>
      </c>
      <c r="S114" s="28">
        <f>IF(AND($A114&lt;&gt;"",$B114="Program"),COUNTIFS($B$6:$B114,"Program",$A$6:$A114,"&lt;&gt;"),"")</f>
        <v/>
      </c>
      <c r="T114" s="30">
        <f>IF(AND($A114&lt;&gt;"",$B114="Program"),SUMPRODUCT(MAX(($C$6:$C$305=$A114)*($B$6:$B$305="Project")*($D$6:$D$305&lt;&gt;"Proposed")*$I$6:$I$305)),0)</f>
        <v/>
      </c>
      <c r="U114" s="30">
        <f>IF($I114&lt;&gt;"",$I114,IF($T114&gt;0,$T114,""))</f>
        <v/>
      </c>
      <c r="V114" s="28">
        <f>IF(AND($A114&lt;&gt;"",$B114="Program"),SUMIFS($J$6:$J$305,$C$6:$C$305,$A114,$B$6:$B$305,"Project",$D$6:$D$305,"&lt;&gt;Proposed"),0)</f>
        <v/>
      </c>
      <c r="W114" s="28">
        <f>IF(AND($A114&lt;&gt;"",$B114="Program"),COUNTIFS($C$6:$C$305,$A114,$B$6:$B$305,"Project",$D$6:$D$305,"&lt;&gt;Proposed")-COUNTIFS($C$6:$C$305,$A114,$B$6:$B$305,"Project",$D$6:$D$305,"&lt;&gt;Proposed",$J$6:$J$305,"&gt;=0"),0)</f>
        <v/>
      </c>
      <c r="X114" s="28">
        <f>IF(OR($Q114=0,$H114="",$AF114="Sprint"),0,IF(AND($B114="Project",$H114&lt;TODAY()),3,IF($U114="",0,IF($U114&lt;=$H114,1,IF(NETWORKDAYS($H114,$U114)-1&gt;IF($B114="Program",Checks!$B$7,Checks!$B$6),3,2)))))</f>
        <v/>
      </c>
      <c r="Y114" s="28">
        <f>IF(OR($Q114=0,$K114="",$K114=0,$AF114="Sprint"),0,IF(AND($B114="Project",$J114=""),0,IF(IF($B114="Program",$V114,$J114)&gt;$K114*(1+Checks!$B$8),3,IF(IF($B114="Program",$V114,$J114)&gt;$K114,2,IF(AND($B114="Program",OR($W114&gt;0,$V114=0)),0,1)))))</f>
        <v/>
      </c>
      <c r="Z114" s="28">
        <f>IF($A114="",0,IF($C114="Portfolio",1,IF(AND($B114="Project",$C114&lt;&gt;"",$C114&lt;&gt;"Outside the portfolio"),IFERROR(IF(AND(INDEX($B$6:$B$305,MATCH($C114,$A$6:$A$305,0))="Program",INDEX($C$6:$C$305,MATCH($C114,$A$6:$A$305,0))="Portfolio"),1,0),0),0)))</f>
        <v/>
      </c>
      <c r="AA114" s="28">
        <f>IF(AND($A114&lt;&gt;"",$E114="",OR($Q114=1,$D114="Proposed")),1,0)</f>
        <v/>
      </c>
      <c r="AB114" s="28">
        <f>IF(AND($A114&lt;&gt;"",$B114="Program",$F114="",$Q114=1),1,0)</f>
        <v/>
      </c>
      <c r="AC114" s="28">
        <f>IF(OR($A114="",$D114="Completed",$D114="Terminated"),0,IF($C114="",1,IF($C114="Portfolio",0,IF($C114="Outside the portfolio",IF($Q114=1,2,0),IF($B114="Project",IF(IFERROR(INDEX($B$6:$B$305,MATCH($C114,$A$6:$A$305,0)),"")="Program",0,1),1)))))</f>
        <v/>
      </c>
      <c r="AD114" s="28">
        <f>IF(AND($A114&lt;&gt;"",OR($M114="■ Red",$M114="◧ Amber"),$L114=""),1,0)</f>
        <v/>
      </c>
      <c r="AE114" s="28">
        <f>$AA114+$AB114+IF($AC114&gt;0,1,0)+$AD114+$AG114+$AH114</f>
        <v/>
      </c>
      <c r="AF114" s="25" t="n"/>
      <c r="AG114" s="28">
        <f>IF(AND($A114&lt;&gt;"",$K114&lt;&gt;"",$C114&lt;&gt;"Portfolio",$D114&lt;&gt;"Completed",$D114&lt;&gt;"Terminated"),1,0)</f>
        <v/>
      </c>
      <c r="AH114" s="28">
        <f>IF(AND($A114&lt;&gt;"",COUNTIF($A$6:$A$305,$A114)&gt;1),1,0)</f>
        <v/>
      </c>
      <c r="AI114" s="28">
        <f>IF(AND($A114&lt;&gt;"",$C114="Portfolio"),COUNTIFS($C$6:$C114,"Portfolio",$A$6:$A114,"&lt;&gt;"),"")</f>
        <v/>
      </c>
    </row>
    <row r="115">
      <c r="A115" s="25" t="n"/>
      <c r="B115" s="25" t="n"/>
      <c r="C115" s="25" t="n"/>
      <c r="D115" s="25" t="n"/>
      <c r="E115" s="25" t="n"/>
      <c r="F115" s="25" t="n"/>
      <c r="G115" s="25" t="n"/>
      <c r="H115" s="26" t="n"/>
      <c r="I115" s="26" t="n"/>
      <c r="J115" s="27" t="n"/>
      <c r="K115" s="27" t="n"/>
      <c r="L115" s="23" t="n"/>
      <c r="M115" s="28">
        <f>IF($A115="","",IF($D115="","Not read",IF($Q115=0,"Not counted",IF(MAX($X115,$Y115)=3,"■ Red",IF(MAX($X115,$Y115)=2,"◧ Amber",IF(MAX($X115,$Y115)=1,"□ On track","Not read"))))))</f>
        <v/>
      </c>
      <c r="N115" s="28">
        <f>IF(OR($A115="",$B115&lt;&gt;"Program"),"","■ "&amp;COUNTIFS($C$6:$C$305,$A115,$M$6:$M$305,"■ Red")&amp;" Red, ◧ "&amp;COUNTIFS($C$6:$C$305,$A115,$M$6:$M$305,"◧ Amber")&amp;" Amber")</f>
        <v/>
      </c>
      <c r="O115" s="29">
        <f>IF(OR($A115="",$E115=""),"",COUNTIFS($E$6:$E$305,$E115,$D$6:$D$305,"Active")+COUNTIFS($E$6:$E$305,$E115,$D$6:$D$305,"Paused"))</f>
        <v/>
      </c>
      <c r="P115" s="28">
        <f>IF($A115="","",IF($AE115=0,"○ Clear",IF($AA115=1,"△ No owner",IF($AC115=1,"△ Check Sits under",IF($AC115=2,"△ Outside the portfolio",IF($AB115=1,"△ No sponsor",IF($AH115=1,"△ Name used twice",IF($AG115=1,"△ Budget only counts under Portfolio","△ No variance note"))))))&amp;IF($AE115&gt;1," (+"&amp;($AE115-1)&amp;" more)","")))</f>
        <v/>
      </c>
      <c r="Q115" s="28">
        <f>IF(AND($A115&lt;&gt;"",OR($D115="Active",$D115="Paused")),1,0)</f>
        <v/>
      </c>
      <c r="R115" s="28">
        <f>IFERROR(INDEX($A$6:$A$305,MATCH(108,$S$6:$S$305,0)),"")</f>
        <v/>
      </c>
      <c r="S115" s="28">
        <f>IF(AND($A115&lt;&gt;"",$B115="Program"),COUNTIFS($B$6:$B115,"Program",$A$6:$A115,"&lt;&gt;"),"")</f>
        <v/>
      </c>
      <c r="T115" s="30">
        <f>IF(AND($A115&lt;&gt;"",$B115="Program"),SUMPRODUCT(MAX(($C$6:$C$305=$A115)*($B$6:$B$305="Project")*($D$6:$D$305&lt;&gt;"Proposed")*$I$6:$I$305)),0)</f>
        <v/>
      </c>
      <c r="U115" s="30">
        <f>IF($I115&lt;&gt;"",$I115,IF($T115&gt;0,$T115,""))</f>
        <v/>
      </c>
      <c r="V115" s="28">
        <f>IF(AND($A115&lt;&gt;"",$B115="Program"),SUMIFS($J$6:$J$305,$C$6:$C$305,$A115,$B$6:$B$305,"Project",$D$6:$D$305,"&lt;&gt;Proposed"),0)</f>
        <v/>
      </c>
      <c r="W115" s="28">
        <f>IF(AND($A115&lt;&gt;"",$B115="Program"),COUNTIFS($C$6:$C$305,$A115,$B$6:$B$305,"Project",$D$6:$D$305,"&lt;&gt;Proposed")-COUNTIFS($C$6:$C$305,$A115,$B$6:$B$305,"Project",$D$6:$D$305,"&lt;&gt;Proposed",$J$6:$J$305,"&gt;=0"),0)</f>
        <v/>
      </c>
      <c r="X115" s="28">
        <f>IF(OR($Q115=0,$H115="",$AF115="Sprint"),0,IF(AND($B115="Project",$H115&lt;TODAY()),3,IF($U115="",0,IF($U115&lt;=$H115,1,IF(NETWORKDAYS($H115,$U115)-1&gt;IF($B115="Program",Checks!$B$7,Checks!$B$6),3,2)))))</f>
        <v/>
      </c>
      <c r="Y115" s="28">
        <f>IF(OR($Q115=0,$K115="",$K115=0,$AF115="Sprint"),0,IF(AND($B115="Project",$J115=""),0,IF(IF($B115="Program",$V115,$J115)&gt;$K115*(1+Checks!$B$8),3,IF(IF($B115="Program",$V115,$J115)&gt;$K115,2,IF(AND($B115="Program",OR($W115&gt;0,$V115=0)),0,1)))))</f>
        <v/>
      </c>
      <c r="Z115" s="28">
        <f>IF($A115="",0,IF($C115="Portfolio",1,IF(AND($B115="Project",$C115&lt;&gt;"",$C115&lt;&gt;"Outside the portfolio"),IFERROR(IF(AND(INDEX($B$6:$B$305,MATCH($C115,$A$6:$A$305,0))="Program",INDEX($C$6:$C$305,MATCH($C115,$A$6:$A$305,0))="Portfolio"),1,0),0),0)))</f>
        <v/>
      </c>
      <c r="AA115" s="28">
        <f>IF(AND($A115&lt;&gt;"",$E115="",OR($Q115=1,$D115="Proposed")),1,0)</f>
        <v/>
      </c>
      <c r="AB115" s="28">
        <f>IF(AND($A115&lt;&gt;"",$B115="Program",$F115="",$Q115=1),1,0)</f>
        <v/>
      </c>
      <c r="AC115" s="28">
        <f>IF(OR($A115="",$D115="Completed",$D115="Terminated"),0,IF($C115="",1,IF($C115="Portfolio",0,IF($C115="Outside the portfolio",IF($Q115=1,2,0),IF($B115="Project",IF(IFERROR(INDEX($B$6:$B$305,MATCH($C115,$A$6:$A$305,0)),"")="Program",0,1),1)))))</f>
        <v/>
      </c>
      <c r="AD115" s="28">
        <f>IF(AND($A115&lt;&gt;"",OR($M115="■ Red",$M115="◧ Amber"),$L115=""),1,0)</f>
        <v/>
      </c>
      <c r="AE115" s="28">
        <f>$AA115+$AB115+IF($AC115&gt;0,1,0)+$AD115+$AG115+$AH115</f>
        <v/>
      </c>
      <c r="AF115" s="25" t="n"/>
      <c r="AG115" s="28">
        <f>IF(AND($A115&lt;&gt;"",$K115&lt;&gt;"",$C115&lt;&gt;"Portfolio",$D115&lt;&gt;"Completed",$D115&lt;&gt;"Terminated"),1,0)</f>
        <v/>
      </c>
      <c r="AH115" s="28">
        <f>IF(AND($A115&lt;&gt;"",COUNTIF($A$6:$A$305,$A115)&gt;1),1,0)</f>
        <v/>
      </c>
      <c r="AI115" s="28">
        <f>IF(AND($A115&lt;&gt;"",$C115="Portfolio"),COUNTIFS($C$6:$C115,"Portfolio",$A$6:$A115,"&lt;&gt;"),"")</f>
        <v/>
      </c>
    </row>
    <row r="116">
      <c r="A116" s="25" t="n"/>
      <c r="B116" s="25" t="n"/>
      <c r="C116" s="25" t="n"/>
      <c r="D116" s="25" t="n"/>
      <c r="E116" s="25" t="n"/>
      <c r="F116" s="25" t="n"/>
      <c r="G116" s="25" t="n"/>
      <c r="H116" s="26" t="n"/>
      <c r="I116" s="26" t="n"/>
      <c r="J116" s="27" t="n"/>
      <c r="K116" s="27" t="n"/>
      <c r="L116" s="23" t="n"/>
      <c r="M116" s="28">
        <f>IF($A116="","",IF($D116="","Not read",IF($Q116=0,"Not counted",IF(MAX($X116,$Y116)=3,"■ Red",IF(MAX($X116,$Y116)=2,"◧ Amber",IF(MAX($X116,$Y116)=1,"□ On track","Not read"))))))</f>
        <v/>
      </c>
      <c r="N116" s="28">
        <f>IF(OR($A116="",$B116&lt;&gt;"Program"),"","■ "&amp;COUNTIFS($C$6:$C$305,$A116,$M$6:$M$305,"■ Red")&amp;" Red, ◧ "&amp;COUNTIFS($C$6:$C$305,$A116,$M$6:$M$305,"◧ Amber")&amp;" Amber")</f>
        <v/>
      </c>
      <c r="O116" s="29">
        <f>IF(OR($A116="",$E116=""),"",COUNTIFS($E$6:$E$305,$E116,$D$6:$D$305,"Active")+COUNTIFS($E$6:$E$305,$E116,$D$6:$D$305,"Paused"))</f>
        <v/>
      </c>
      <c r="P116" s="28">
        <f>IF($A116="","",IF($AE116=0,"○ Clear",IF($AA116=1,"△ No owner",IF($AC116=1,"△ Check Sits under",IF($AC116=2,"△ Outside the portfolio",IF($AB116=1,"△ No sponsor",IF($AH116=1,"△ Name used twice",IF($AG116=1,"△ Budget only counts under Portfolio","△ No variance note"))))))&amp;IF($AE116&gt;1," (+"&amp;($AE116-1)&amp;" more)","")))</f>
        <v/>
      </c>
      <c r="Q116" s="28">
        <f>IF(AND($A116&lt;&gt;"",OR($D116="Active",$D116="Paused")),1,0)</f>
        <v/>
      </c>
      <c r="R116" s="28">
        <f>IFERROR(INDEX($A$6:$A$305,MATCH(109,$S$6:$S$305,0)),"")</f>
        <v/>
      </c>
      <c r="S116" s="28">
        <f>IF(AND($A116&lt;&gt;"",$B116="Program"),COUNTIFS($B$6:$B116,"Program",$A$6:$A116,"&lt;&gt;"),"")</f>
        <v/>
      </c>
      <c r="T116" s="30">
        <f>IF(AND($A116&lt;&gt;"",$B116="Program"),SUMPRODUCT(MAX(($C$6:$C$305=$A116)*($B$6:$B$305="Project")*($D$6:$D$305&lt;&gt;"Proposed")*$I$6:$I$305)),0)</f>
        <v/>
      </c>
      <c r="U116" s="30">
        <f>IF($I116&lt;&gt;"",$I116,IF($T116&gt;0,$T116,""))</f>
        <v/>
      </c>
      <c r="V116" s="28">
        <f>IF(AND($A116&lt;&gt;"",$B116="Program"),SUMIFS($J$6:$J$305,$C$6:$C$305,$A116,$B$6:$B$305,"Project",$D$6:$D$305,"&lt;&gt;Proposed"),0)</f>
        <v/>
      </c>
      <c r="W116" s="28">
        <f>IF(AND($A116&lt;&gt;"",$B116="Program"),COUNTIFS($C$6:$C$305,$A116,$B$6:$B$305,"Project",$D$6:$D$305,"&lt;&gt;Proposed")-COUNTIFS($C$6:$C$305,$A116,$B$6:$B$305,"Project",$D$6:$D$305,"&lt;&gt;Proposed",$J$6:$J$305,"&gt;=0"),0)</f>
        <v/>
      </c>
      <c r="X116" s="28">
        <f>IF(OR($Q116=0,$H116="",$AF116="Sprint"),0,IF(AND($B116="Project",$H116&lt;TODAY()),3,IF($U116="",0,IF($U116&lt;=$H116,1,IF(NETWORKDAYS($H116,$U116)-1&gt;IF($B116="Program",Checks!$B$7,Checks!$B$6),3,2)))))</f>
        <v/>
      </c>
      <c r="Y116" s="28">
        <f>IF(OR($Q116=0,$K116="",$K116=0,$AF116="Sprint"),0,IF(AND($B116="Project",$J116=""),0,IF(IF($B116="Program",$V116,$J116)&gt;$K116*(1+Checks!$B$8),3,IF(IF($B116="Program",$V116,$J116)&gt;$K116,2,IF(AND($B116="Program",OR($W116&gt;0,$V116=0)),0,1)))))</f>
        <v/>
      </c>
      <c r="Z116" s="28">
        <f>IF($A116="",0,IF($C116="Portfolio",1,IF(AND($B116="Project",$C116&lt;&gt;"",$C116&lt;&gt;"Outside the portfolio"),IFERROR(IF(AND(INDEX($B$6:$B$305,MATCH($C116,$A$6:$A$305,0))="Program",INDEX($C$6:$C$305,MATCH($C116,$A$6:$A$305,0))="Portfolio"),1,0),0),0)))</f>
        <v/>
      </c>
      <c r="AA116" s="28">
        <f>IF(AND($A116&lt;&gt;"",$E116="",OR($Q116=1,$D116="Proposed")),1,0)</f>
        <v/>
      </c>
      <c r="AB116" s="28">
        <f>IF(AND($A116&lt;&gt;"",$B116="Program",$F116="",$Q116=1),1,0)</f>
        <v/>
      </c>
      <c r="AC116" s="28">
        <f>IF(OR($A116="",$D116="Completed",$D116="Terminated"),0,IF($C116="",1,IF($C116="Portfolio",0,IF($C116="Outside the portfolio",IF($Q116=1,2,0),IF($B116="Project",IF(IFERROR(INDEX($B$6:$B$305,MATCH($C116,$A$6:$A$305,0)),"")="Program",0,1),1)))))</f>
        <v/>
      </c>
      <c r="AD116" s="28">
        <f>IF(AND($A116&lt;&gt;"",OR($M116="■ Red",$M116="◧ Amber"),$L116=""),1,0)</f>
        <v/>
      </c>
      <c r="AE116" s="28">
        <f>$AA116+$AB116+IF($AC116&gt;0,1,0)+$AD116+$AG116+$AH116</f>
        <v/>
      </c>
      <c r="AF116" s="25" t="n"/>
      <c r="AG116" s="28">
        <f>IF(AND($A116&lt;&gt;"",$K116&lt;&gt;"",$C116&lt;&gt;"Portfolio",$D116&lt;&gt;"Completed",$D116&lt;&gt;"Terminated"),1,0)</f>
        <v/>
      </c>
      <c r="AH116" s="28">
        <f>IF(AND($A116&lt;&gt;"",COUNTIF($A$6:$A$305,$A116)&gt;1),1,0)</f>
        <v/>
      </c>
      <c r="AI116" s="28">
        <f>IF(AND($A116&lt;&gt;"",$C116="Portfolio"),COUNTIFS($C$6:$C116,"Portfolio",$A$6:$A116,"&lt;&gt;"),"")</f>
        <v/>
      </c>
    </row>
    <row r="117">
      <c r="A117" s="25" t="n"/>
      <c r="B117" s="25" t="n"/>
      <c r="C117" s="25" t="n"/>
      <c r="D117" s="25" t="n"/>
      <c r="E117" s="25" t="n"/>
      <c r="F117" s="25" t="n"/>
      <c r="G117" s="25" t="n"/>
      <c r="H117" s="26" t="n"/>
      <c r="I117" s="26" t="n"/>
      <c r="J117" s="27" t="n"/>
      <c r="K117" s="27" t="n"/>
      <c r="L117" s="23" t="n"/>
      <c r="M117" s="28">
        <f>IF($A117="","",IF($D117="","Not read",IF($Q117=0,"Not counted",IF(MAX($X117,$Y117)=3,"■ Red",IF(MAX($X117,$Y117)=2,"◧ Amber",IF(MAX($X117,$Y117)=1,"□ On track","Not read"))))))</f>
        <v/>
      </c>
      <c r="N117" s="28">
        <f>IF(OR($A117="",$B117&lt;&gt;"Program"),"","■ "&amp;COUNTIFS($C$6:$C$305,$A117,$M$6:$M$305,"■ Red")&amp;" Red, ◧ "&amp;COUNTIFS($C$6:$C$305,$A117,$M$6:$M$305,"◧ Amber")&amp;" Amber")</f>
        <v/>
      </c>
      <c r="O117" s="29">
        <f>IF(OR($A117="",$E117=""),"",COUNTIFS($E$6:$E$305,$E117,$D$6:$D$305,"Active")+COUNTIFS($E$6:$E$305,$E117,$D$6:$D$305,"Paused"))</f>
        <v/>
      </c>
      <c r="P117" s="28">
        <f>IF($A117="","",IF($AE117=0,"○ Clear",IF($AA117=1,"△ No owner",IF($AC117=1,"△ Check Sits under",IF($AC117=2,"△ Outside the portfolio",IF($AB117=1,"△ No sponsor",IF($AH117=1,"△ Name used twice",IF($AG117=1,"△ Budget only counts under Portfolio","△ No variance note"))))))&amp;IF($AE117&gt;1," (+"&amp;($AE117-1)&amp;" more)","")))</f>
        <v/>
      </c>
      <c r="Q117" s="28">
        <f>IF(AND($A117&lt;&gt;"",OR($D117="Active",$D117="Paused")),1,0)</f>
        <v/>
      </c>
      <c r="R117" s="28">
        <f>IFERROR(INDEX($A$6:$A$305,MATCH(110,$S$6:$S$305,0)),"")</f>
        <v/>
      </c>
      <c r="S117" s="28">
        <f>IF(AND($A117&lt;&gt;"",$B117="Program"),COUNTIFS($B$6:$B117,"Program",$A$6:$A117,"&lt;&gt;"),"")</f>
        <v/>
      </c>
      <c r="T117" s="30">
        <f>IF(AND($A117&lt;&gt;"",$B117="Program"),SUMPRODUCT(MAX(($C$6:$C$305=$A117)*($B$6:$B$305="Project")*($D$6:$D$305&lt;&gt;"Proposed")*$I$6:$I$305)),0)</f>
        <v/>
      </c>
      <c r="U117" s="30">
        <f>IF($I117&lt;&gt;"",$I117,IF($T117&gt;0,$T117,""))</f>
        <v/>
      </c>
      <c r="V117" s="28">
        <f>IF(AND($A117&lt;&gt;"",$B117="Program"),SUMIFS($J$6:$J$305,$C$6:$C$305,$A117,$B$6:$B$305,"Project",$D$6:$D$305,"&lt;&gt;Proposed"),0)</f>
        <v/>
      </c>
      <c r="W117" s="28">
        <f>IF(AND($A117&lt;&gt;"",$B117="Program"),COUNTIFS($C$6:$C$305,$A117,$B$6:$B$305,"Project",$D$6:$D$305,"&lt;&gt;Proposed")-COUNTIFS($C$6:$C$305,$A117,$B$6:$B$305,"Project",$D$6:$D$305,"&lt;&gt;Proposed",$J$6:$J$305,"&gt;=0"),0)</f>
        <v/>
      </c>
      <c r="X117" s="28">
        <f>IF(OR($Q117=0,$H117="",$AF117="Sprint"),0,IF(AND($B117="Project",$H117&lt;TODAY()),3,IF($U117="",0,IF($U117&lt;=$H117,1,IF(NETWORKDAYS($H117,$U117)-1&gt;IF($B117="Program",Checks!$B$7,Checks!$B$6),3,2)))))</f>
        <v/>
      </c>
      <c r="Y117" s="28">
        <f>IF(OR($Q117=0,$K117="",$K117=0,$AF117="Sprint"),0,IF(AND($B117="Project",$J117=""),0,IF(IF($B117="Program",$V117,$J117)&gt;$K117*(1+Checks!$B$8),3,IF(IF($B117="Program",$V117,$J117)&gt;$K117,2,IF(AND($B117="Program",OR($W117&gt;0,$V117=0)),0,1)))))</f>
        <v/>
      </c>
      <c r="Z117" s="28">
        <f>IF($A117="",0,IF($C117="Portfolio",1,IF(AND($B117="Project",$C117&lt;&gt;"",$C117&lt;&gt;"Outside the portfolio"),IFERROR(IF(AND(INDEX($B$6:$B$305,MATCH($C117,$A$6:$A$305,0))="Program",INDEX($C$6:$C$305,MATCH($C117,$A$6:$A$305,0))="Portfolio"),1,0),0),0)))</f>
        <v/>
      </c>
      <c r="AA117" s="28">
        <f>IF(AND($A117&lt;&gt;"",$E117="",OR($Q117=1,$D117="Proposed")),1,0)</f>
        <v/>
      </c>
      <c r="AB117" s="28">
        <f>IF(AND($A117&lt;&gt;"",$B117="Program",$F117="",$Q117=1),1,0)</f>
        <v/>
      </c>
      <c r="AC117" s="28">
        <f>IF(OR($A117="",$D117="Completed",$D117="Terminated"),0,IF($C117="",1,IF($C117="Portfolio",0,IF($C117="Outside the portfolio",IF($Q117=1,2,0),IF($B117="Project",IF(IFERROR(INDEX($B$6:$B$305,MATCH($C117,$A$6:$A$305,0)),"")="Program",0,1),1)))))</f>
        <v/>
      </c>
      <c r="AD117" s="28">
        <f>IF(AND($A117&lt;&gt;"",OR($M117="■ Red",$M117="◧ Amber"),$L117=""),1,0)</f>
        <v/>
      </c>
      <c r="AE117" s="28">
        <f>$AA117+$AB117+IF($AC117&gt;0,1,0)+$AD117+$AG117+$AH117</f>
        <v/>
      </c>
      <c r="AF117" s="25" t="n"/>
      <c r="AG117" s="28">
        <f>IF(AND($A117&lt;&gt;"",$K117&lt;&gt;"",$C117&lt;&gt;"Portfolio",$D117&lt;&gt;"Completed",$D117&lt;&gt;"Terminated"),1,0)</f>
        <v/>
      </c>
      <c r="AH117" s="28">
        <f>IF(AND($A117&lt;&gt;"",COUNTIF($A$6:$A$305,$A117)&gt;1),1,0)</f>
        <v/>
      </c>
      <c r="AI117" s="28">
        <f>IF(AND($A117&lt;&gt;"",$C117="Portfolio"),COUNTIFS($C$6:$C117,"Portfolio",$A$6:$A117,"&lt;&gt;"),"")</f>
        <v/>
      </c>
    </row>
    <row r="118">
      <c r="A118" s="25" t="n"/>
      <c r="B118" s="25" t="n"/>
      <c r="C118" s="25" t="n"/>
      <c r="D118" s="25" t="n"/>
      <c r="E118" s="25" t="n"/>
      <c r="F118" s="25" t="n"/>
      <c r="G118" s="25" t="n"/>
      <c r="H118" s="26" t="n"/>
      <c r="I118" s="26" t="n"/>
      <c r="J118" s="27" t="n"/>
      <c r="K118" s="27" t="n"/>
      <c r="L118" s="23" t="n"/>
      <c r="M118" s="28">
        <f>IF($A118="","",IF($D118="","Not read",IF($Q118=0,"Not counted",IF(MAX($X118,$Y118)=3,"■ Red",IF(MAX($X118,$Y118)=2,"◧ Amber",IF(MAX($X118,$Y118)=1,"□ On track","Not read"))))))</f>
        <v/>
      </c>
      <c r="N118" s="28">
        <f>IF(OR($A118="",$B118&lt;&gt;"Program"),"","■ "&amp;COUNTIFS($C$6:$C$305,$A118,$M$6:$M$305,"■ Red")&amp;" Red, ◧ "&amp;COUNTIFS($C$6:$C$305,$A118,$M$6:$M$305,"◧ Amber")&amp;" Amber")</f>
        <v/>
      </c>
      <c r="O118" s="29">
        <f>IF(OR($A118="",$E118=""),"",COUNTIFS($E$6:$E$305,$E118,$D$6:$D$305,"Active")+COUNTIFS($E$6:$E$305,$E118,$D$6:$D$305,"Paused"))</f>
        <v/>
      </c>
      <c r="P118" s="28">
        <f>IF($A118="","",IF($AE118=0,"○ Clear",IF($AA118=1,"△ No owner",IF($AC118=1,"△ Check Sits under",IF($AC118=2,"△ Outside the portfolio",IF($AB118=1,"△ No sponsor",IF($AH118=1,"△ Name used twice",IF($AG118=1,"△ Budget only counts under Portfolio","△ No variance note"))))))&amp;IF($AE118&gt;1," (+"&amp;($AE118-1)&amp;" more)","")))</f>
        <v/>
      </c>
      <c r="Q118" s="28">
        <f>IF(AND($A118&lt;&gt;"",OR($D118="Active",$D118="Paused")),1,0)</f>
        <v/>
      </c>
      <c r="R118" s="28">
        <f>IFERROR(INDEX($A$6:$A$305,MATCH(111,$S$6:$S$305,0)),"")</f>
        <v/>
      </c>
      <c r="S118" s="28">
        <f>IF(AND($A118&lt;&gt;"",$B118="Program"),COUNTIFS($B$6:$B118,"Program",$A$6:$A118,"&lt;&gt;"),"")</f>
        <v/>
      </c>
      <c r="T118" s="30">
        <f>IF(AND($A118&lt;&gt;"",$B118="Program"),SUMPRODUCT(MAX(($C$6:$C$305=$A118)*($B$6:$B$305="Project")*($D$6:$D$305&lt;&gt;"Proposed")*$I$6:$I$305)),0)</f>
        <v/>
      </c>
      <c r="U118" s="30">
        <f>IF($I118&lt;&gt;"",$I118,IF($T118&gt;0,$T118,""))</f>
        <v/>
      </c>
      <c r="V118" s="28">
        <f>IF(AND($A118&lt;&gt;"",$B118="Program"),SUMIFS($J$6:$J$305,$C$6:$C$305,$A118,$B$6:$B$305,"Project",$D$6:$D$305,"&lt;&gt;Proposed"),0)</f>
        <v/>
      </c>
      <c r="W118" s="28">
        <f>IF(AND($A118&lt;&gt;"",$B118="Program"),COUNTIFS($C$6:$C$305,$A118,$B$6:$B$305,"Project",$D$6:$D$305,"&lt;&gt;Proposed")-COUNTIFS($C$6:$C$305,$A118,$B$6:$B$305,"Project",$D$6:$D$305,"&lt;&gt;Proposed",$J$6:$J$305,"&gt;=0"),0)</f>
        <v/>
      </c>
      <c r="X118" s="28">
        <f>IF(OR($Q118=0,$H118="",$AF118="Sprint"),0,IF(AND($B118="Project",$H118&lt;TODAY()),3,IF($U118="",0,IF($U118&lt;=$H118,1,IF(NETWORKDAYS($H118,$U118)-1&gt;IF($B118="Program",Checks!$B$7,Checks!$B$6),3,2)))))</f>
        <v/>
      </c>
      <c r="Y118" s="28">
        <f>IF(OR($Q118=0,$K118="",$K118=0,$AF118="Sprint"),0,IF(AND($B118="Project",$J118=""),0,IF(IF($B118="Program",$V118,$J118)&gt;$K118*(1+Checks!$B$8),3,IF(IF($B118="Program",$V118,$J118)&gt;$K118,2,IF(AND($B118="Program",OR($W118&gt;0,$V118=0)),0,1)))))</f>
        <v/>
      </c>
      <c r="Z118" s="28">
        <f>IF($A118="",0,IF($C118="Portfolio",1,IF(AND($B118="Project",$C118&lt;&gt;"",$C118&lt;&gt;"Outside the portfolio"),IFERROR(IF(AND(INDEX($B$6:$B$305,MATCH($C118,$A$6:$A$305,0))="Program",INDEX($C$6:$C$305,MATCH($C118,$A$6:$A$305,0))="Portfolio"),1,0),0),0)))</f>
        <v/>
      </c>
      <c r="AA118" s="28">
        <f>IF(AND($A118&lt;&gt;"",$E118="",OR($Q118=1,$D118="Proposed")),1,0)</f>
        <v/>
      </c>
      <c r="AB118" s="28">
        <f>IF(AND($A118&lt;&gt;"",$B118="Program",$F118="",$Q118=1),1,0)</f>
        <v/>
      </c>
      <c r="AC118" s="28">
        <f>IF(OR($A118="",$D118="Completed",$D118="Terminated"),0,IF($C118="",1,IF($C118="Portfolio",0,IF($C118="Outside the portfolio",IF($Q118=1,2,0),IF($B118="Project",IF(IFERROR(INDEX($B$6:$B$305,MATCH($C118,$A$6:$A$305,0)),"")="Program",0,1),1)))))</f>
        <v/>
      </c>
      <c r="AD118" s="28">
        <f>IF(AND($A118&lt;&gt;"",OR($M118="■ Red",$M118="◧ Amber"),$L118=""),1,0)</f>
        <v/>
      </c>
      <c r="AE118" s="28">
        <f>$AA118+$AB118+IF($AC118&gt;0,1,0)+$AD118+$AG118+$AH118</f>
        <v/>
      </c>
      <c r="AF118" s="25" t="n"/>
      <c r="AG118" s="28">
        <f>IF(AND($A118&lt;&gt;"",$K118&lt;&gt;"",$C118&lt;&gt;"Portfolio",$D118&lt;&gt;"Completed",$D118&lt;&gt;"Terminated"),1,0)</f>
        <v/>
      </c>
      <c r="AH118" s="28">
        <f>IF(AND($A118&lt;&gt;"",COUNTIF($A$6:$A$305,$A118)&gt;1),1,0)</f>
        <v/>
      </c>
      <c r="AI118" s="28">
        <f>IF(AND($A118&lt;&gt;"",$C118="Portfolio"),COUNTIFS($C$6:$C118,"Portfolio",$A$6:$A118,"&lt;&gt;"),"")</f>
        <v/>
      </c>
    </row>
    <row r="119">
      <c r="A119" s="25" t="n"/>
      <c r="B119" s="25" t="n"/>
      <c r="C119" s="25" t="n"/>
      <c r="D119" s="25" t="n"/>
      <c r="E119" s="25" t="n"/>
      <c r="F119" s="25" t="n"/>
      <c r="G119" s="25" t="n"/>
      <c r="H119" s="26" t="n"/>
      <c r="I119" s="26" t="n"/>
      <c r="J119" s="27" t="n"/>
      <c r="K119" s="27" t="n"/>
      <c r="L119" s="23" t="n"/>
      <c r="M119" s="28">
        <f>IF($A119="","",IF($D119="","Not read",IF($Q119=0,"Not counted",IF(MAX($X119,$Y119)=3,"■ Red",IF(MAX($X119,$Y119)=2,"◧ Amber",IF(MAX($X119,$Y119)=1,"□ On track","Not read"))))))</f>
        <v/>
      </c>
      <c r="N119" s="28">
        <f>IF(OR($A119="",$B119&lt;&gt;"Program"),"","■ "&amp;COUNTIFS($C$6:$C$305,$A119,$M$6:$M$305,"■ Red")&amp;" Red, ◧ "&amp;COUNTIFS($C$6:$C$305,$A119,$M$6:$M$305,"◧ Amber")&amp;" Amber")</f>
        <v/>
      </c>
      <c r="O119" s="29">
        <f>IF(OR($A119="",$E119=""),"",COUNTIFS($E$6:$E$305,$E119,$D$6:$D$305,"Active")+COUNTIFS($E$6:$E$305,$E119,$D$6:$D$305,"Paused"))</f>
        <v/>
      </c>
      <c r="P119" s="28">
        <f>IF($A119="","",IF($AE119=0,"○ Clear",IF($AA119=1,"△ No owner",IF($AC119=1,"△ Check Sits under",IF($AC119=2,"△ Outside the portfolio",IF($AB119=1,"△ No sponsor",IF($AH119=1,"△ Name used twice",IF($AG119=1,"△ Budget only counts under Portfolio","△ No variance note"))))))&amp;IF($AE119&gt;1," (+"&amp;($AE119-1)&amp;" more)","")))</f>
        <v/>
      </c>
      <c r="Q119" s="28">
        <f>IF(AND($A119&lt;&gt;"",OR($D119="Active",$D119="Paused")),1,0)</f>
        <v/>
      </c>
      <c r="R119" s="28">
        <f>IFERROR(INDEX($A$6:$A$305,MATCH(112,$S$6:$S$305,0)),"")</f>
        <v/>
      </c>
      <c r="S119" s="28">
        <f>IF(AND($A119&lt;&gt;"",$B119="Program"),COUNTIFS($B$6:$B119,"Program",$A$6:$A119,"&lt;&gt;"),"")</f>
        <v/>
      </c>
      <c r="T119" s="30">
        <f>IF(AND($A119&lt;&gt;"",$B119="Program"),SUMPRODUCT(MAX(($C$6:$C$305=$A119)*($B$6:$B$305="Project")*($D$6:$D$305&lt;&gt;"Proposed")*$I$6:$I$305)),0)</f>
        <v/>
      </c>
      <c r="U119" s="30">
        <f>IF($I119&lt;&gt;"",$I119,IF($T119&gt;0,$T119,""))</f>
        <v/>
      </c>
      <c r="V119" s="28">
        <f>IF(AND($A119&lt;&gt;"",$B119="Program"),SUMIFS($J$6:$J$305,$C$6:$C$305,$A119,$B$6:$B$305,"Project",$D$6:$D$305,"&lt;&gt;Proposed"),0)</f>
        <v/>
      </c>
      <c r="W119" s="28">
        <f>IF(AND($A119&lt;&gt;"",$B119="Program"),COUNTIFS($C$6:$C$305,$A119,$B$6:$B$305,"Project",$D$6:$D$305,"&lt;&gt;Proposed")-COUNTIFS($C$6:$C$305,$A119,$B$6:$B$305,"Project",$D$6:$D$305,"&lt;&gt;Proposed",$J$6:$J$305,"&gt;=0"),0)</f>
        <v/>
      </c>
      <c r="X119" s="28">
        <f>IF(OR($Q119=0,$H119="",$AF119="Sprint"),0,IF(AND($B119="Project",$H119&lt;TODAY()),3,IF($U119="",0,IF($U119&lt;=$H119,1,IF(NETWORKDAYS($H119,$U119)-1&gt;IF($B119="Program",Checks!$B$7,Checks!$B$6),3,2)))))</f>
        <v/>
      </c>
      <c r="Y119" s="28">
        <f>IF(OR($Q119=0,$K119="",$K119=0,$AF119="Sprint"),0,IF(AND($B119="Project",$J119=""),0,IF(IF($B119="Program",$V119,$J119)&gt;$K119*(1+Checks!$B$8),3,IF(IF($B119="Program",$V119,$J119)&gt;$K119,2,IF(AND($B119="Program",OR($W119&gt;0,$V119=0)),0,1)))))</f>
        <v/>
      </c>
      <c r="Z119" s="28">
        <f>IF($A119="",0,IF($C119="Portfolio",1,IF(AND($B119="Project",$C119&lt;&gt;"",$C119&lt;&gt;"Outside the portfolio"),IFERROR(IF(AND(INDEX($B$6:$B$305,MATCH($C119,$A$6:$A$305,0))="Program",INDEX($C$6:$C$305,MATCH($C119,$A$6:$A$305,0))="Portfolio"),1,0),0),0)))</f>
        <v/>
      </c>
      <c r="AA119" s="28">
        <f>IF(AND($A119&lt;&gt;"",$E119="",OR($Q119=1,$D119="Proposed")),1,0)</f>
        <v/>
      </c>
      <c r="AB119" s="28">
        <f>IF(AND($A119&lt;&gt;"",$B119="Program",$F119="",$Q119=1),1,0)</f>
        <v/>
      </c>
      <c r="AC119" s="28">
        <f>IF(OR($A119="",$D119="Completed",$D119="Terminated"),0,IF($C119="",1,IF($C119="Portfolio",0,IF($C119="Outside the portfolio",IF($Q119=1,2,0),IF($B119="Project",IF(IFERROR(INDEX($B$6:$B$305,MATCH($C119,$A$6:$A$305,0)),"")="Program",0,1),1)))))</f>
        <v/>
      </c>
      <c r="AD119" s="28">
        <f>IF(AND($A119&lt;&gt;"",OR($M119="■ Red",$M119="◧ Amber"),$L119=""),1,0)</f>
        <v/>
      </c>
      <c r="AE119" s="28">
        <f>$AA119+$AB119+IF($AC119&gt;0,1,0)+$AD119+$AG119+$AH119</f>
        <v/>
      </c>
      <c r="AF119" s="25" t="n"/>
      <c r="AG119" s="28">
        <f>IF(AND($A119&lt;&gt;"",$K119&lt;&gt;"",$C119&lt;&gt;"Portfolio",$D119&lt;&gt;"Completed",$D119&lt;&gt;"Terminated"),1,0)</f>
        <v/>
      </c>
      <c r="AH119" s="28">
        <f>IF(AND($A119&lt;&gt;"",COUNTIF($A$6:$A$305,$A119)&gt;1),1,0)</f>
        <v/>
      </c>
      <c r="AI119" s="28">
        <f>IF(AND($A119&lt;&gt;"",$C119="Portfolio"),COUNTIFS($C$6:$C119,"Portfolio",$A$6:$A119,"&lt;&gt;"),"")</f>
        <v/>
      </c>
    </row>
    <row r="120">
      <c r="A120" s="25" t="n"/>
      <c r="B120" s="25" t="n"/>
      <c r="C120" s="25" t="n"/>
      <c r="D120" s="25" t="n"/>
      <c r="E120" s="25" t="n"/>
      <c r="F120" s="25" t="n"/>
      <c r="G120" s="25" t="n"/>
      <c r="H120" s="26" t="n"/>
      <c r="I120" s="26" t="n"/>
      <c r="J120" s="27" t="n"/>
      <c r="K120" s="27" t="n"/>
      <c r="L120" s="23" t="n"/>
      <c r="M120" s="28">
        <f>IF($A120="","",IF($D120="","Not read",IF($Q120=0,"Not counted",IF(MAX($X120,$Y120)=3,"■ Red",IF(MAX($X120,$Y120)=2,"◧ Amber",IF(MAX($X120,$Y120)=1,"□ On track","Not read"))))))</f>
        <v/>
      </c>
      <c r="N120" s="28">
        <f>IF(OR($A120="",$B120&lt;&gt;"Program"),"","■ "&amp;COUNTIFS($C$6:$C$305,$A120,$M$6:$M$305,"■ Red")&amp;" Red, ◧ "&amp;COUNTIFS($C$6:$C$305,$A120,$M$6:$M$305,"◧ Amber")&amp;" Amber")</f>
        <v/>
      </c>
      <c r="O120" s="29">
        <f>IF(OR($A120="",$E120=""),"",COUNTIFS($E$6:$E$305,$E120,$D$6:$D$305,"Active")+COUNTIFS($E$6:$E$305,$E120,$D$6:$D$305,"Paused"))</f>
        <v/>
      </c>
      <c r="P120" s="28">
        <f>IF($A120="","",IF($AE120=0,"○ Clear",IF($AA120=1,"△ No owner",IF($AC120=1,"△ Check Sits under",IF($AC120=2,"△ Outside the portfolio",IF($AB120=1,"△ No sponsor",IF($AH120=1,"△ Name used twice",IF($AG120=1,"△ Budget only counts under Portfolio","△ No variance note"))))))&amp;IF($AE120&gt;1," (+"&amp;($AE120-1)&amp;" more)","")))</f>
        <v/>
      </c>
      <c r="Q120" s="28">
        <f>IF(AND($A120&lt;&gt;"",OR($D120="Active",$D120="Paused")),1,0)</f>
        <v/>
      </c>
      <c r="R120" s="28">
        <f>IFERROR(INDEX($A$6:$A$305,MATCH(113,$S$6:$S$305,0)),"")</f>
        <v/>
      </c>
      <c r="S120" s="28">
        <f>IF(AND($A120&lt;&gt;"",$B120="Program"),COUNTIFS($B$6:$B120,"Program",$A$6:$A120,"&lt;&gt;"),"")</f>
        <v/>
      </c>
      <c r="T120" s="30">
        <f>IF(AND($A120&lt;&gt;"",$B120="Program"),SUMPRODUCT(MAX(($C$6:$C$305=$A120)*($B$6:$B$305="Project")*($D$6:$D$305&lt;&gt;"Proposed")*$I$6:$I$305)),0)</f>
        <v/>
      </c>
      <c r="U120" s="30">
        <f>IF($I120&lt;&gt;"",$I120,IF($T120&gt;0,$T120,""))</f>
        <v/>
      </c>
      <c r="V120" s="28">
        <f>IF(AND($A120&lt;&gt;"",$B120="Program"),SUMIFS($J$6:$J$305,$C$6:$C$305,$A120,$B$6:$B$305,"Project",$D$6:$D$305,"&lt;&gt;Proposed"),0)</f>
        <v/>
      </c>
      <c r="W120" s="28">
        <f>IF(AND($A120&lt;&gt;"",$B120="Program"),COUNTIFS($C$6:$C$305,$A120,$B$6:$B$305,"Project",$D$6:$D$305,"&lt;&gt;Proposed")-COUNTIFS($C$6:$C$305,$A120,$B$6:$B$305,"Project",$D$6:$D$305,"&lt;&gt;Proposed",$J$6:$J$305,"&gt;=0"),0)</f>
        <v/>
      </c>
      <c r="X120" s="28">
        <f>IF(OR($Q120=0,$H120="",$AF120="Sprint"),0,IF(AND($B120="Project",$H120&lt;TODAY()),3,IF($U120="",0,IF($U120&lt;=$H120,1,IF(NETWORKDAYS($H120,$U120)-1&gt;IF($B120="Program",Checks!$B$7,Checks!$B$6),3,2)))))</f>
        <v/>
      </c>
      <c r="Y120" s="28">
        <f>IF(OR($Q120=0,$K120="",$K120=0,$AF120="Sprint"),0,IF(AND($B120="Project",$J120=""),0,IF(IF($B120="Program",$V120,$J120)&gt;$K120*(1+Checks!$B$8),3,IF(IF($B120="Program",$V120,$J120)&gt;$K120,2,IF(AND($B120="Program",OR($W120&gt;0,$V120=0)),0,1)))))</f>
        <v/>
      </c>
      <c r="Z120" s="28">
        <f>IF($A120="",0,IF($C120="Portfolio",1,IF(AND($B120="Project",$C120&lt;&gt;"",$C120&lt;&gt;"Outside the portfolio"),IFERROR(IF(AND(INDEX($B$6:$B$305,MATCH($C120,$A$6:$A$305,0))="Program",INDEX($C$6:$C$305,MATCH($C120,$A$6:$A$305,0))="Portfolio"),1,0),0),0)))</f>
        <v/>
      </c>
      <c r="AA120" s="28">
        <f>IF(AND($A120&lt;&gt;"",$E120="",OR($Q120=1,$D120="Proposed")),1,0)</f>
        <v/>
      </c>
      <c r="AB120" s="28">
        <f>IF(AND($A120&lt;&gt;"",$B120="Program",$F120="",$Q120=1),1,0)</f>
        <v/>
      </c>
      <c r="AC120" s="28">
        <f>IF(OR($A120="",$D120="Completed",$D120="Terminated"),0,IF($C120="",1,IF($C120="Portfolio",0,IF($C120="Outside the portfolio",IF($Q120=1,2,0),IF($B120="Project",IF(IFERROR(INDEX($B$6:$B$305,MATCH($C120,$A$6:$A$305,0)),"")="Program",0,1),1)))))</f>
        <v/>
      </c>
      <c r="AD120" s="28">
        <f>IF(AND($A120&lt;&gt;"",OR($M120="■ Red",$M120="◧ Amber"),$L120=""),1,0)</f>
        <v/>
      </c>
      <c r="AE120" s="28">
        <f>$AA120+$AB120+IF($AC120&gt;0,1,0)+$AD120+$AG120+$AH120</f>
        <v/>
      </c>
      <c r="AF120" s="25" t="n"/>
      <c r="AG120" s="28">
        <f>IF(AND($A120&lt;&gt;"",$K120&lt;&gt;"",$C120&lt;&gt;"Portfolio",$D120&lt;&gt;"Completed",$D120&lt;&gt;"Terminated"),1,0)</f>
        <v/>
      </c>
      <c r="AH120" s="28">
        <f>IF(AND($A120&lt;&gt;"",COUNTIF($A$6:$A$305,$A120)&gt;1),1,0)</f>
        <v/>
      </c>
      <c r="AI120" s="28">
        <f>IF(AND($A120&lt;&gt;"",$C120="Portfolio"),COUNTIFS($C$6:$C120,"Portfolio",$A$6:$A120,"&lt;&gt;"),"")</f>
        <v/>
      </c>
    </row>
    <row r="121">
      <c r="A121" s="25" t="n"/>
      <c r="B121" s="25" t="n"/>
      <c r="C121" s="25" t="n"/>
      <c r="D121" s="25" t="n"/>
      <c r="E121" s="25" t="n"/>
      <c r="F121" s="25" t="n"/>
      <c r="G121" s="25" t="n"/>
      <c r="H121" s="26" t="n"/>
      <c r="I121" s="26" t="n"/>
      <c r="J121" s="27" t="n"/>
      <c r="K121" s="27" t="n"/>
      <c r="L121" s="23" t="n"/>
      <c r="M121" s="28">
        <f>IF($A121="","",IF($D121="","Not read",IF($Q121=0,"Not counted",IF(MAX($X121,$Y121)=3,"■ Red",IF(MAX($X121,$Y121)=2,"◧ Amber",IF(MAX($X121,$Y121)=1,"□ On track","Not read"))))))</f>
        <v/>
      </c>
      <c r="N121" s="28">
        <f>IF(OR($A121="",$B121&lt;&gt;"Program"),"","■ "&amp;COUNTIFS($C$6:$C$305,$A121,$M$6:$M$305,"■ Red")&amp;" Red, ◧ "&amp;COUNTIFS($C$6:$C$305,$A121,$M$6:$M$305,"◧ Amber")&amp;" Amber")</f>
        <v/>
      </c>
      <c r="O121" s="29">
        <f>IF(OR($A121="",$E121=""),"",COUNTIFS($E$6:$E$305,$E121,$D$6:$D$305,"Active")+COUNTIFS($E$6:$E$305,$E121,$D$6:$D$305,"Paused"))</f>
        <v/>
      </c>
      <c r="P121" s="28">
        <f>IF($A121="","",IF($AE121=0,"○ Clear",IF($AA121=1,"△ No owner",IF($AC121=1,"△ Check Sits under",IF($AC121=2,"△ Outside the portfolio",IF($AB121=1,"△ No sponsor",IF($AH121=1,"△ Name used twice",IF($AG121=1,"△ Budget only counts under Portfolio","△ No variance note"))))))&amp;IF($AE121&gt;1," (+"&amp;($AE121-1)&amp;" more)","")))</f>
        <v/>
      </c>
      <c r="Q121" s="28">
        <f>IF(AND($A121&lt;&gt;"",OR($D121="Active",$D121="Paused")),1,0)</f>
        <v/>
      </c>
      <c r="R121" s="28">
        <f>IFERROR(INDEX($A$6:$A$305,MATCH(114,$S$6:$S$305,0)),"")</f>
        <v/>
      </c>
      <c r="S121" s="28">
        <f>IF(AND($A121&lt;&gt;"",$B121="Program"),COUNTIFS($B$6:$B121,"Program",$A$6:$A121,"&lt;&gt;"),"")</f>
        <v/>
      </c>
      <c r="T121" s="30">
        <f>IF(AND($A121&lt;&gt;"",$B121="Program"),SUMPRODUCT(MAX(($C$6:$C$305=$A121)*($B$6:$B$305="Project")*($D$6:$D$305&lt;&gt;"Proposed")*$I$6:$I$305)),0)</f>
        <v/>
      </c>
      <c r="U121" s="30">
        <f>IF($I121&lt;&gt;"",$I121,IF($T121&gt;0,$T121,""))</f>
        <v/>
      </c>
      <c r="V121" s="28">
        <f>IF(AND($A121&lt;&gt;"",$B121="Program"),SUMIFS($J$6:$J$305,$C$6:$C$305,$A121,$B$6:$B$305,"Project",$D$6:$D$305,"&lt;&gt;Proposed"),0)</f>
        <v/>
      </c>
      <c r="W121" s="28">
        <f>IF(AND($A121&lt;&gt;"",$B121="Program"),COUNTIFS($C$6:$C$305,$A121,$B$6:$B$305,"Project",$D$6:$D$305,"&lt;&gt;Proposed")-COUNTIFS($C$6:$C$305,$A121,$B$6:$B$305,"Project",$D$6:$D$305,"&lt;&gt;Proposed",$J$6:$J$305,"&gt;=0"),0)</f>
        <v/>
      </c>
      <c r="X121" s="28">
        <f>IF(OR($Q121=0,$H121="",$AF121="Sprint"),0,IF(AND($B121="Project",$H121&lt;TODAY()),3,IF($U121="",0,IF($U121&lt;=$H121,1,IF(NETWORKDAYS($H121,$U121)-1&gt;IF($B121="Program",Checks!$B$7,Checks!$B$6),3,2)))))</f>
        <v/>
      </c>
      <c r="Y121" s="28">
        <f>IF(OR($Q121=0,$K121="",$K121=0,$AF121="Sprint"),0,IF(AND($B121="Project",$J121=""),0,IF(IF($B121="Program",$V121,$J121)&gt;$K121*(1+Checks!$B$8),3,IF(IF($B121="Program",$V121,$J121)&gt;$K121,2,IF(AND($B121="Program",OR($W121&gt;0,$V121=0)),0,1)))))</f>
        <v/>
      </c>
      <c r="Z121" s="28">
        <f>IF($A121="",0,IF($C121="Portfolio",1,IF(AND($B121="Project",$C121&lt;&gt;"",$C121&lt;&gt;"Outside the portfolio"),IFERROR(IF(AND(INDEX($B$6:$B$305,MATCH($C121,$A$6:$A$305,0))="Program",INDEX($C$6:$C$305,MATCH($C121,$A$6:$A$305,0))="Portfolio"),1,0),0),0)))</f>
        <v/>
      </c>
      <c r="AA121" s="28">
        <f>IF(AND($A121&lt;&gt;"",$E121="",OR($Q121=1,$D121="Proposed")),1,0)</f>
        <v/>
      </c>
      <c r="AB121" s="28">
        <f>IF(AND($A121&lt;&gt;"",$B121="Program",$F121="",$Q121=1),1,0)</f>
        <v/>
      </c>
      <c r="AC121" s="28">
        <f>IF(OR($A121="",$D121="Completed",$D121="Terminated"),0,IF($C121="",1,IF($C121="Portfolio",0,IF($C121="Outside the portfolio",IF($Q121=1,2,0),IF($B121="Project",IF(IFERROR(INDEX($B$6:$B$305,MATCH($C121,$A$6:$A$305,0)),"")="Program",0,1),1)))))</f>
        <v/>
      </c>
      <c r="AD121" s="28">
        <f>IF(AND($A121&lt;&gt;"",OR($M121="■ Red",$M121="◧ Amber"),$L121=""),1,0)</f>
        <v/>
      </c>
      <c r="AE121" s="28">
        <f>$AA121+$AB121+IF($AC121&gt;0,1,0)+$AD121+$AG121+$AH121</f>
        <v/>
      </c>
      <c r="AF121" s="25" t="n"/>
      <c r="AG121" s="28">
        <f>IF(AND($A121&lt;&gt;"",$K121&lt;&gt;"",$C121&lt;&gt;"Portfolio",$D121&lt;&gt;"Completed",$D121&lt;&gt;"Terminated"),1,0)</f>
        <v/>
      </c>
      <c r="AH121" s="28">
        <f>IF(AND($A121&lt;&gt;"",COUNTIF($A$6:$A$305,$A121)&gt;1),1,0)</f>
        <v/>
      </c>
      <c r="AI121" s="28">
        <f>IF(AND($A121&lt;&gt;"",$C121="Portfolio"),COUNTIFS($C$6:$C121,"Portfolio",$A$6:$A121,"&lt;&gt;"),"")</f>
        <v/>
      </c>
    </row>
    <row r="122">
      <c r="A122" s="25" t="n"/>
      <c r="B122" s="25" t="n"/>
      <c r="C122" s="25" t="n"/>
      <c r="D122" s="25" t="n"/>
      <c r="E122" s="25" t="n"/>
      <c r="F122" s="25" t="n"/>
      <c r="G122" s="25" t="n"/>
      <c r="H122" s="26" t="n"/>
      <c r="I122" s="26" t="n"/>
      <c r="J122" s="27" t="n"/>
      <c r="K122" s="27" t="n"/>
      <c r="L122" s="23" t="n"/>
      <c r="M122" s="28">
        <f>IF($A122="","",IF($D122="","Not read",IF($Q122=0,"Not counted",IF(MAX($X122,$Y122)=3,"■ Red",IF(MAX($X122,$Y122)=2,"◧ Amber",IF(MAX($X122,$Y122)=1,"□ On track","Not read"))))))</f>
        <v/>
      </c>
      <c r="N122" s="28">
        <f>IF(OR($A122="",$B122&lt;&gt;"Program"),"","■ "&amp;COUNTIFS($C$6:$C$305,$A122,$M$6:$M$305,"■ Red")&amp;" Red, ◧ "&amp;COUNTIFS($C$6:$C$305,$A122,$M$6:$M$305,"◧ Amber")&amp;" Amber")</f>
        <v/>
      </c>
      <c r="O122" s="29">
        <f>IF(OR($A122="",$E122=""),"",COUNTIFS($E$6:$E$305,$E122,$D$6:$D$305,"Active")+COUNTIFS($E$6:$E$305,$E122,$D$6:$D$305,"Paused"))</f>
        <v/>
      </c>
      <c r="P122" s="28">
        <f>IF($A122="","",IF($AE122=0,"○ Clear",IF($AA122=1,"△ No owner",IF($AC122=1,"△ Check Sits under",IF($AC122=2,"△ Outside the portfolio",IF($AB122=1,"△ No sponsor",IF($AH122=1,"△ Name used twice",IF($AG122=1,"△ Budget only counts under Portfolio","△ No variance note"))))))&amp;IF($AE122&gt;1," (+"&amp;($AE122-1)&amp;" more)","")))</f>
        <v/>
      </c>
      <c r="Q122" s="28">
        <f>IF(AND($A122&lt;&gt;"",OR($D122="Active",$D122="Paused")),1,0)</f>
        <v/>
      </c>
      <c r="R122" s="28">
        <f>IFERROR(INDEX($A$6:$A$305,MATCH(115,$S$6:$S$305,0)),"")</f>
        <v/>
      </c>
      <c r="S122" s="28">
        <f>IF(AND($A122&lt;&gt;"",$B122="Program"),COUNTIFS($B$6:$B122,"Program",$A$6:$A122,"&lt;&gt;"),"")</f>
        <v/>
      </c>
      <c r="T122" s="30">
        <f>IF(AND($A122&lt;&gt;"",$B122="Program"),SUMPRODUCT(MAX(($C$6:$C$305=$A122)*($B$6:$B$305="Project")*($D$6:$D$305&lt;&gt;"Proposed")*$I$6:$I$305)),0)</f>
        <v/>
      </c>
      <c r="U122" s="30">
        <f>IF($I122&lt;&gt;"",$I122,IF($T122&gt;0,$T122,""))</f>
        <v/>
      </c>
      <c r="V122" s="28">
        <f>IF(AND($A122&lt;&gt;"",$B122="Program"),SUMIFS($J$6:$J$305,$C$6:$C$305,$A122,$B$6:$B$305,"Project",$D$6:$D$305,"&lt;&gt;Proposed"),0)</f>
        <v/>
      </c>
      <c r="W122" s="28">
        <f>IF(AND($A122&lt;&gt;"",$B122="Program"),COUNTIFS($C$6:$C$305,$A122,$B$6:$B$305,"Project",$D$6:$D$305,"&lt;&gt;Proposed")-COUNTIFS($C$6:$C$305,$A122,$B$6:$B$305,"Project",$D$6:$D$305,"&lt;&gt;Proposed",$J$6:$J$305,"&gt;=0"),0)</f>
        <v/>
      </c>
      <c r="X122" s="28">
        <f>IF(OR($Q122=0,$H122="",$AF122="Sprint"),0,IF(AND($B122="Project",$H122&lt;TODAY()),3,IF($U122="",0,IF($U122&lt;=$H122,1,IF(NETWORKDAYS($H122,$U122)-1&gt;IF($B122="Program",Checks!$B$7,Checks!$B$6),3,2)))))</f>
        <v/>
      </c>
      <c r="Y122" s="28">
        <f>IF(OR($Q122=0,$K122="",$K122=0,$AF122="Sprint"),0,IF(AND($B122="Project",$J122=""),0,IF(IF($B122="Program",$V122,$J122)&gt;$K122*(1+Checks!$B$8),3,IF(IF($B122="Program",$V122,$J122)&gt;$K122,2,IF(AND($B122="Program",OR($W122&gt;0,$V122=0)),0,1)))))</f>
        <v/>
      </c>
      <c r="Z122" s="28">
        <f>IF($A122="",0,IF($C122="Portfolio",1,IF(AND($B122="Project",$C122&lt;&gt;"",$C122&lt;&gt;"Outside the portfolio"),IFERROR(IF(AND(INDEX($B$6:$B$305,MATCH($C122,$A$6:$A$305,0))="Program",INDEX($C$6:$C$305,MATCH($C122,$A$6:$A$305,0))="Portfolio"),1,0),0),0)))</f>
        <v/>
      </c>
      <c r="AA122" s="28">
        <f>IF(AND($A122&lt;&gt;"",$E122="",OR($Q122=1,$D122="Proposed")),1,0)</f>
        <v/>
      </c>
      <c r="AB122" s="28">
        <f>IF(AND($A122&lt;&gt;"",$B122="Program",$F122="",$Q122=1),1,0)</f>
        <v/>
      </c>
      <c r="AC122" s="28">
        <f>IF(OR($A122="",$D122="Completed",$D122="Terminated"),0,IF($C122="",1,IF($C122="Portfolio",0,IF($C122="Outside the portfolio",IF($Q122=1,2,0),IF($B122="Project",IF(IFERROR(INDEX($B$6:$B$305,MATCH($C122,$A$6:$A$305,0)),"")="Program",0,1),1)))))</f>
        <v/>
      </c>
      <c r="AD122" s="28">
        <f>IF(AND($A122&lt;&gt;"",OR($M122="■ Red",$M122="◧ Amber"),$L122=""),1,0)</f>
        <v/>
      </c>
      <c r="AE122" s="28">
        <f>$AA122+$AB122+IF($AC122&gt;0,1,0)+$AD122+$AG122+$AH122</f>
        <v/>
      </c>
      <c r="AF122" s="25" t="n"/>
      <c r="AG122" s="28">
        <f>IF(AND($A122&lt;&gt;"",$K122&lt;&gt;"",$C122&lt;&gt;"Portfolio",$D122&lt;&gt;"Completed",$D122&lt;&gt;"Terminated"),1,0)</f>
        <v/>
      </c>
      <c r="AH122" s="28">
        <f>IF(AND($A122&lt;&gt;"",COUNTIF($A$6:$A$305,$A122)&gt;1),1,0)</f>
        <v/>
      </c>
      <c r="AI122" s="28">
        <f>IF(AND($A122&lt;&gt;"",$C122="Portfolio"),COUNTIFS($C$6:$C122,"Portfolio",$A$6:$A122,"&lt;&gt;"),"")</f>
        <v/>
      </c>
    </row>
    <row r="123">
      <c r="A123" s="25" t="n"/>
      <c r="B123" s="25" t="n"/>
      <c r="C123" s="25" t="n"/>
      <c r="D123" s="25" t="n"/>
      <c r="E123" s="25" t="n"/>
      <c r="F123" s="25" t="n"/>
      <c r="G123" s="25" t="n"/>
      <c r="H123" s="26" t="n"/>
      <c r="I123" s="26" t="n"/>
      <c r="J123" s="27" t="n"/>
      <c r="K123" s="27" t="n"/>
      <c r="L123" s="23" t="n"/>
      <c r="M123" s="28">
        <f>IF($A123="","",IF($D123="","Not read",IF($Q123=0,"Not counted",IF(MAX($X123,$Y123)=3,"■ Red",IF(MAX($X123,$Y123)=2,"◧ Amber",IF(MAX($X123,$Y123)=1,"□ On track","Not read"))))))</f>
        <v/>
      </c>
      <c r="N123" s="28">
        <f>IF(OR($A123="",$B123&lt;&gt;"Program"),"","■ "&amp;COUNTIFS($C$6:$C$305,$A123,$M$6:$M$305,"■ Red")&amp;" Red, ◧ "&amp;COUNTIFS($C$6:$C$305,$A123,$M$6:$M$305,"◧ Amber")&amp;" Amber")</f>
        <v/>
      </c>
      <c r="O123" s="29">
        <f>IF(OR($A123="",$E123=""),"",COUNTIFS($E$6:$E$305,$E123,$D$6:$D$305,"Active")+COUNTIFS($E$6:$E$305,$E123,$D$6:$D$305,"Paused"))</f>
        <v/>
      </c>
      <c r="P123" s="28">
        <f>IF($A123="","",IF($AE123=0,"○ Clear",IF($AA123=1,"△ No owner",IF($AC123=1,"△ Check Sits under",IF($AC123=2,"△ Outside the portfolio",IF($AB123=1,"△ No sponsor",IF($AH123=1,"△ Name used twice",IF($AG123=1,"△ Budget only counts under Portfolio","△ No variance note"))))))&amp;IF($AE123&gt;1," (+"&amp;($AE123-1)&amp;" more)","")))</f>
        <v/>
      </c>
      <c r="Q123" s="28">
        <f>IF(AND($A123&lt;&gt;"",OR($D123="Active",$D123="Paused")),1,0)</f>
        <v/>
      </c>
      <c r="R123" s="28">
        <f>IFERROR(INDEX($A$6:$A$305,MATCH(116,$S$6:$S$305,0)),"")</f>
        <v/>
      </c>
      <c r="S123" s="28">
        <f>IF(AND($A123&lt;&gt;"",$B123="Program"),COUNTIFS($B$6:$B123,"Program",$A$6:$A123,"&lt;&gt;"),"")</f>
        <v/>
      </c>
      <c r="T123" s="30">
        <f>IF(AND($A123&lt;&gt;"",$B123="Program"),SUMPRODUCT(MAX(($C$6:$C$305=$A123)*($B$6:$B$305="Project")*($D$6:$D$305&lt;&gt;"Proposed")*$I$6:$I$305)),0)</f>
        <v/>
      </c>
      <c r="U123" s="30">
        <f>IF($I123&lt;&gt;"",$I123,IF($T123&gt;0,$T123,""))</f>
        <v/>
      </c>
      <c r="V123" s="28">
        <f>IF(AND($A123&lt;&gt;"",$B123="Program"),SUMIFS($J$6:$J$305,$C$6:$C$305,$A123,$B$6:$B$305,"Project",$D$6:$D$305,"&lt;&gt;Proposed"),0)</f>
        <v/>
      </c>
      <c r="W123" s="28">
        <f>IF(AND($A123&lt;&gt;"",$B123="Program"),COUNTIFS($C$6:$C$305,$A123,$B$6:$B$305,"Project",$D$6:$D$305,"&lt;&gt;Proposed")-COUNTIFS($C$6:$C$305,$A123,$B$6:$B$305,"Project",$D$6:$D$305,"&lt;&gt;Proposed",$J$6:$J$305,"&gt;=0"),0)</f>
        <v/>
      </c>
      <c r="X123" s="28">
        <f>IF(OR($Q123=0,$H123="",$AF123="Sprint"),0,IF(AND($B123="Project",$H123&lt;TODAY()),3,IF($U123="",0,IF($U123&lt;=$H123,1,IF(NETWORKDAYS($H123,$U123)-1&gt;IF($B123="Program",Checks!$B$7,Checks!$B$6),3,2)))))</f>
        <v/>
      </c>
      <c r="Y123" s="28">
        <f>IF(OR($Q123=0,$K123="",$K123=0,$AF123="Sprint"),0,IF(AND($B123="Project",$J123=""),0,IF(IF($B123="Program",$V123,$J123)&gt;$K123*(1+Checks!$B$8),3,IF(IF($B123="Program",$V123,$J123)&gt;$K123,2,IF(AND($B123="Program",OR($W123&gt;0,$V123=0)),0,1)))))</f>
        <v/>
      </c>
      <c r="Z123" s="28">
        <f>IF($A123="",0,IF($C123="Portfolio",1,IF(AND($B123="Project",$C123&lt;&gt;"",$C123&lt;&gt;"Outside the portfolio"),IFERROR(IF(AND(INDEX($B$6:$B$305,MATCH($C123,$A$6:$A$305,0))="Program",INDEX($C$6:$C$305,MATCH($C123,$A$6:$A$305,0))="Portfolio"),1,0),0),0)))</f>
        <v/>
      </c>
      <c r="AA123" s="28">
        <f>IF(AND($A123&lt;&gt;"",$E123="",OR($Q123=1,$D123="Proposed")),1,0)</f>
        <v/>
      </c>
      <c r="AB123" s="28">
        <f>IF(AND($A123&lt;&gt;"",$B123="Program",$F123="",$Q123=1),1,0)</f>
        <v/>
      </c>
      <c r="AC123" s="28">
        <f>IF(OR($A123="",$D123="Completed",$D123="Terminated"),0,IF($C123="",1,IF($C123="Portfolio",0,IF($C123="Outside the portfolio",IF($Q123=1,2,0),IF($B123="Project",IF(IFERROR(INDEX($B$6:$B$305,MATCH($C123,$A$6:$A$305,0)),"")="Program",0,1),1)))))</f>
        <v/>
      </c>
      <c r="AD123" s="28">
        <f>IF(AND($A123&lt;&gt;"",OR($M123="■ Red",$M123="◧ Amber"),$L123=""),1,0)</f>
        <v/>
      </c>
      <c r="AE123" s="28">
        <f>$AA123+$AB123+IF($AC123&gt;0,1,0)+$AD123+$AG123+$AH123</f>
        <v/>
      </c>
      <c r="AF123" s="25" t="n"/>
      <c r="AG123" s="28">
        <f>IF(AND($A123&lt;&gt;"",$K123&lt;&gt;"",$C123&lt;&gt;"Portfolio",$D123&lt;&gt;"Completed",$D123&lt;&gt;"Terminated"),1,0)</f>
        <v/>
      </c>
      <c r="AH123" s="28">
        <f>IF(AND($A123&lt;&gt;"",COUNTIF($A$6:$A$305,$A123)&gt;1),1,0)</f>
        <v/>
      </c>
      <c r="AI123" s="28">
        <f>IF(AND($A123&lt;&gt;"",$C123="Portfolio"),COUNTIFS($C$6:$C123,"Portfolio",$A$6:$A123,"&lt;&gt;"),"")</f>
        <v/>
      </c>
    </row>
    <row r="124">
      <c r="A124" s="25" t="n"/>
      <c r="B124" s="25" t="n"/>
      <c r="C124" s="25" t="n"/>
      <c r="D124" s="25" t="n"/>
      <c r="E124" s="25" t="n"/>
      <c r="F124" s="25" t="n"/>
      <c r="G124" s="25" t="n"/>
      <c r="H124" s="26" t="n"/>
      <c r="I124" s="26" t="n"/>
      <c r="J124" s="27" t="n"/>
      <c r="K124" s="27" t="n"/>
      <c r="L124" s="23" t="n"/>
      <c r="M124" s="28">
        <f>IF($A124="","",IF($D124="","Not read",IF($Q124=0,"Not counted",IF(MAX($X124,$Y124)=3,"■ Red",IF(MAX($X124,$Y124)=2,"◧ Amber",IF(MAX($X124,$Y124)=1,"□ On track","Not read"))))))</f>
        <v/>
      </c>
      <c r="N124" s="28">
        <f>IF(OR($A124="",$B124&lt;&gt;"Program"),"","■ "&amp;COUNTIFS($C$6:$C$305,$A124,$M$6:$M$305,"■ Red")&amp;" Red, ◧ "&amp;COUNTIFS($C$6:$C$305,$A124,$M$6:$M$305,"◧ Amber")&amp;" Amber")</f>
        <v/>
      </c>
      <c r="O124" s="29">
        <f>IF(OR($A124="",$E124=""),"",COUNTIFS($E$6:$E$305,$E124,$D$6:$D$305,"Active")+COUNTIFS($E$6:$E$305,$E124,$D$6:$D$305,"Paused"))</f>
        <v/>
      </c>
      <c r="P124" s="28">
        <f>IF($A124="","",IF($AE124=0,"○ Clear",IF($AA124=1,"△ No owner",IF($AC124=1,"△ Check Sits under",IF($AC124=2,"△ Outside the portfolio",IF($AB124=1,"△ No sponsor",IF($AH124=1,"△ Name used twice",IF($AG124=1,"△ Budget only counts under Portfolio","△ No variance note"))))))&amp;IF($AE124&gt;1," (+"&amp;($AE124-1)&amp;" more)","")))</f>
        <v/>
      </c>
      <c r="Q124" s="28">
        <f>IF(AND($A124&lt;&gt;"",OR($D124="Active",$D124="Paused")),1,0)</f>
        <v/>
      </c>
      <c r="R124" s="28">
        <f>IFERROR(INDEX($A$6:$A$305,MATCH(117,$S$6:$S$305,0)),"")</f>
        <v/>
      </c>
      <c r="S124" s="28">
        <f>IF(AND($A124&lt;&gt;"",$B124="Program"),COUNTIFS($B$6:$B124,"Program",$A$6:$A124,"&lt;&gt;"),"")</f>
        <v/>
      </c>
      <c r="T124" s="30">
        <f>IF(AND($A124&lt;&gt;"",$B124="Program"),SUMPRODUCT(MAX(($C$6:$C$305=$A124)*($B$6:$B$305="Project")*($D$6:$D$305&lt;&gt;"Proposed")*$I$6:$I$305)),0)</f>
        <v/>
      </c>
      <c r="U124" s="30">
        <f>IF($I124&lt;&gt;"",$I124,IF($T124&gt;0,$T124,""))</f>
        <v/>
      </c>
      <c r="V124" s="28">
        <f>IF(AND($A124&lt;&gt;"",$B124="Program"),SUMIFS($J$6:$J$305,$C$6:$C$305,$A124,$B$6:$B$305,"Project",$D$6:$D$305,"&lt;&gt;Proposed"),0)</f>
        <v/>
      </c>
      <c r="W124" s="28">
        <f>IF(AND($A124&lt;&gt;"",$B124="Program"),COUNTIFS($C$6:$C$305,$A124,$B$6:$B$305,"Project",$D$6:$D$305,"&lt;&gt;Proposed")-COUNTIFS($C$6:$C$305,$A124,$B$6:$B$305,"Project",$D$6:$D$305,"&lt;&gt;Proposed",$J$6:$J$305,"&gt;=0"),0)</f>
        <v/>
      </c>
      <c r="X124" s="28">
        <f>IF(OR($Q124=0,$H124="",$AF124="Sprint"),0,IF(AND($B124="Project",$H124&lt;TODAY()),3,IF($U124="",0,IF($U124&lt;=$H124,1,IF(NETWORKDAYS($H124,$U124)-1&gt;IF($B124="Program",Checks!$B$7,Checks!$B$6),3,2)))))</f>
        <v/>
      </c>
      <c r="Y124" s="28">
        <f>IF(OR($Q124=0,$K124="",$K124=0,$AF124="Sprint"),0,IF(AND($B124="Project",$J124=""),0,IF(IF($B124="Program",$V124,$J124)&gt;$K124*(1+Checks!$B$8),3,IF(IF($B124="Program",$V124,$J124)&gt;$K124,2,IF(AND($B124="Program",OR($W124&gt;0,$V124=0)),0,1)))))</f>
        <v/>
      </c>
      <c r="Z124" s="28">
        <f>IF($A124="",0,IF($C124="Portfolio",1,IF(AND($B124="Project",$C124&lt;&gt;"",$C124&lt;&gt;"Outside the portfolio"),IFERROR(IF(AND(INDEX($B$6:$B$305,MATCH($C124,$A$6:$A$305,0))="Program",INDEX($C$6:$C$305,MATCH($C124,$A$6:$A$305,0))="Portfolio"),1,0),0),0)))</f>
        <v/>
      </c>
      <c r="AA124" s="28">
        <f>IF(AND($A124&lt;&gt;"",$E124="",OR($Q124=1,$D124="Proposed")),1,0)</f>
        <v/>
      </c>
      <c r="AB124" s="28">
        <f>IF(AND($A124&lt;&gt;"",$B124="Program",$F124="",$Q124=1),1,0)</f>
        <v/>
      </c>
      <c r="AC124" s="28">
        <f>IF(OR($A124="",$D124="Completed",$D124="Terminated"),0,IF($C124="",1,IF($C124="Portfolio",0,IF($C124="Outside the portfolio",IF($Q124=1,2,0),IF($B124="Project",IF(IFERROR(INDEX($B$6:$B$305,MATCH($C124,$A$6:$A$305,0)),"")="Program",0,1),1)))))</f>
        <v/>
      </c>
      <c r="AD124" s="28">
        <f>IF(AND($A124&lt;&gt;"",OR($M124="■ Red",$M124="◧ Amber"),$L124=""),1,0)</f>
        <v/>
      </c>
      <c r="AE124" s="28">
        <f>$AA124+$AB124+IF($AC124&gt;0,1,0)+$AD124+$AG124+$AH124</f>
        <v/>
      </c>
      <c r="AF124" s="25" t="n"/>
      <c r="AG124" s="28">
        <f>IF(AND($A124&lt;&gt;"",$K124&lt;&gt;"",$C124&lt;&gt;"Portfolio",$D124&lt;&gt;"Completed",$D124&lt;&gt;"Terminated"),1,0)</f>
        <v/>
      </c>
      <c r="AH124" s="28">
        <f>IF(AND($A124&lt;&gt;"",COUNTIF($A$6:$A$305,$A124)&gt;1),1,0)</f>
        <v/>
      </c>
      <c r="AI124" s="28">
        <f>IF(AND($A124&lt;&gt;"",$C124="Portfolio"),COUNTIFS($C$6:$C124,"Portfolio",$A$6:$A124,"&lt;&gt;"),"")</f>
        <v/>
      </c>
    </row>
    <row r="125">
      <c r="A125" s="25" t="n"/>
      <c r="B125" s="25" t="n"/>
      <c r="C125" s="25" t="n"/>
      <c r="D125" s="25" t="n"/>
      <c r="E125" s="25" t="n"/>
      <c r="F125" s="25" t="n"/>
      <c r="G125" s="25" t="n"/>
      <c r="H125" s="26" t="n"/>
      <c r="I125" s="26" t="n"/>
      <c r="J125" s="27" t="n"/>
      <c r="K125" s="27" t="n"/>
      <c r="L125" s="23" t="n"/>
      <c r="M125" s="28">
        <f>IF($A125="","",IF($D125="","Not read",IF($Q125=0,"Not counted",IF(MAX($X125,$Y125)=3,"■ Red",IF(MAX($X125,$Y125)=2,"◧ Amber",IF(MAX($X125,$Y125)=1,"□ On track","Not read"))))))</f>
        <v/>
      </c>
      <c r="N125" s="28">
        <f>IF(OR($A125="",$B125&lt;&gt;"Program"),"","■ "&amp;COUNTIFS($C$6:$C$305,$A125,$M$6:$M$305,"■ Red")&amp;" Red, ◧ "&amp;COUNTIFS($C$6:$C$305,$A125,$M$6:$M$305,"◧ Amber")&amp;" Amber")</f>
        <v/>
      </c>
      <c r="O125" s="29">
        <f>IF(OR($A125="",$E125=""),"",COUNTIFS($E$6:$E$305,$E125,$D$6:$D$305,"Active")+COUNTIFS($E$6:$E$305,$E125,$D$6:$D$305,"Paused"))</f>
        <v/>
      </c>
      <c r="P125" s="28">
        <f>IF($A125="","",IF($AE125=0,"○ Clear",IF($AA125=1,"△ No owner",IF($AC125=1,"△ Check Sits under",IF($AC125=2,"△ Outside the portfolio",IF($AB125=1,"△ No sponsor",IF($AH125=1,"△ Name used twice",IF($AG125=1,"△ Budget only counts under Portfolio","△ No variance note"))))))&amp;IF($AE125&gt;1," (+"&amp;($AE125-1)&amp;" more)","")))</f>
        <v/>
      </c>
      <c r="Q125" s="28">
        <f>IF(AND($A125&lt;&gt;"",OR($D125="Active",$D125="Paused")),1,0)</f>
        <v/>
      </c>
      <c r="R125" s="28">
        <f>IFERROR(INDEX($A$6:$A$305,MATCH(118,$S$6:$S$305,0)),"")</f>
        <v/>
      </c>
      <c r="S125" s="28">
        <f>IF(AND($A125&lt;&gt;"",$B125="Program"),COUNTIFS($B$6:$B125,"Program",$A$6:$A125,"&lt;&gt;"),"")</f>
        <v/>
      </c>
      <c r="T125" s="30">
        <f>IF(AND($A125&lt;&gt;"",$B125="Program"),SUMPRODUCT(MAX(($C$6:$C$305=$A125)*($B$6:$B$305="Project")*($D$6:$D$305&lt;&gt;"Proposed")*$I$6:$I$305)),0)</f>
        <v/>
      </c>
      <c r="U125" s="30">
        <f>IF($I125&lt;&gt;"",$I125,IF($T125&gt;0,$T125,""))</f>
        <v/>
      </c>
      <c r="V125" s="28">
        <f>IF(AND($A125&lt;&gt;"",$B125="Program"),SUMIFS($J$6:$J$305,$C$6:$C$305,$A125,$B$6:$B$305,"Project",$D$6:$D$305,"&lt;&gt;Proposed"),0)</f>
        <v/>
      </c>
      <c r="W125" s="28">
        <f>IF(AND($A125&lt;&gt;"",$B125="Program"),COUNTIFS($C$6:$C$305,$A125,$B$6:$B$305,"Project",$D$6:$D$305,"&lt;&gt;Proposed")-COUNTIFS($C$6:$C$305,$A125,$B$6:$B$305,"Project",$D$6:$D$305,"&lt;&gt;Proposed",$J$6:$J$305,"&gt;=0"),0)</f>
        <v/>
      </c>
      <c r="X125" s="28">
        <f>IF(OR($Q125=0,$H125="",$AF125="Sprint"),0,IF(AND($B125="Project",$H125&lt;TODAY()),3,IF($U125="",0,IF($U125&lt;=$H125,1,IF(NETWORKDAYS($H125,$U125)-1&gt;IF($B125="Program",Checks!$B$7,Checks!$B$6),3,2)))))</f>
        <v/>
      </c>
      <c r="Y125" s="28">
        <f>IF(OR($Q125=0,$K125="",$K125=0,$AF125="Sprint"),0,IF(AND($B125="Project",$J125=""),0,IF(IF($B125="Program",$V125,$J125)&gt;$K125*(1+Checks!$B$8),3,IF(IF($B125="Program",$V125,$J125)&gt;$K125,2,IF(AND($B125="Program",OR($W125&gt;0,$V125=0)),0,1)))))</f>
        <v/>
      </c>
      <c r="Z125" s="28">
        <f>IF($A125="",0,IF($C125="Portfolio",1,IF(AND($B125="Project",$C125&lt;&gt;"",$C125&lt;&gt;"Outside the portfolio"),IFERROR(IF(AND(INDEX($B$6:$B$305,MATCH($C125,$A$6:$A$305,0))="Program",INDEX($C$6:$C$305,MATCH($C125,$A$6:$A$305,0))="Portfolio"),1,0),0),0)))</f>
        <v/>
      </c>
      <c r="AA125" s="28">
        <f>IF(AND($A125&lt;&gt;"",$E125="",OR($Q125=1,$D125="Proposed")),1,0)</f>
        <v/>
      </c>
      <c r="AB125" s="28">
        <f>IF(AND($A125&lt;&gt;"",$B125="Program",$F125="",$Q125=1),1,0)</f>
        <v/>
      </c>
      <c r="AC125" s="28">
        <f>IF(OR($A125="",$D125="Completed",$D125="Terminated"),0,IF($C125="",1,IF($C125="Portfolio",0,IF($C125="Outside the portfolio",IF($Q125=1,2,0),IF($B125="Project",IF(IFERROR(INDEX($B$6:$B$305,MATCH($C125,$A$6:$A$305,0)),"")="Program",0,1),1)))))</f>
        <v/>
      </c>
      <c r="AD125" s="28">
        <f>IF(AND($A125&lt;&gt;"",OR($M125="■ Red",$M125="◧ Amber"),$L125=""),1,0)</f>
        <v/>
      </c>
      <c r="AE125" s="28">
        <f>$AA125+$AB125+IF($AC125&gt;0,1,0)+$AD125+$AG125+$AH125</f>
        <v/>
      </c>
      <c r="AF125" s="25" t="n"/>
      <c r="AG125" s="28">
        <f>IF(AND($A125&lt;&gt;"",$K125&lt;&gt;"",$C125&lt;&gt;"Portfolio",$D125&lt;&gt;"Completed",$D125&lt;&gt;"Terminated"),1,0)</f>
        <v/>
      </c>
      <c r="AH125" s="28">
        <f>IF(AND($A125&lt;&gt;"",COUNTIF($A$6:$A$305,$A125)&gt;1),1,0)</f>
        <v/>
      </c>
      <c r="AI125" s="28">
        <f>IF(AND($A125&lt;&gt;"",$C125="Portfolio"),COUNTIFS($C$6:$C125,"Portfolio",$A$6:$A125,"&lt;&gt;"),"")</f>
        <v/>
      </c>
    </row>
    <row r="126">
      <c r="A126" s="25" t="n"/>
      <c r="B126" s="25" t="n"/>
      <c r="C126" s="25" t="n"/>
      <c r="D126" s="25" t="n"/>
      <c r="E126" s="25" t="n"/>
      <c r="F126" s="25" t="n"/>
      <c r="G126" s="25" t="n"/>
      <c r="H126" s="26" t="n"/>
      <c r="I126" s="26" t="n"/>
      <c r="J126" s="27" t="n"/>
      <c r="K126" s="27" t="n"/>
      <c r="L126" s="23" t="n"/>
      <c r="M126" s="28">
        <f>IF($A126="","",IF($D126="","Not read",IF($Q126=0,"Not counted",IF(MAX($X126,$Y126)=3,"■ Red",IF(MAX($X126,$Y126)=2,"◧ Amber",IF(MAX($X126,$Y126)=1,"□ On track","Not read"))))))</f>
        <v/>
      </c>
      <c r="N126" s="28">
        <f>IF(OR($A126="",$B126&lt;&gt;"Program"),"","■ "&amp;COUNTIFS($C$6:$C$305,$A126,$M$6:$M$305,"■ Red")&amp;" Red, ◧ "&amp;COUNTIFS($C$6:$C$305,$A126,$M$6:$M$305,"◧ Amber")&amp;" Amber")</f>
        <v/>
      </c>
      <c r="O126" s="29">
        <f>IF(OR($A126="",$E126=""),"",COUNTIFS($E$6:$E$305,$E126,$D$6:$D$305,"Active")+COUNTIFS($E$6:$E$305,$E126,$D$6:$D$305,"Paused"))</f>
        <v/>
      </c>
      <c r="P126" s="28">
        <f>IF($A126="","",IF($AE126=0,"○ Clear",IF($AA126=1,"△ No owner",IF($AC126=1,"△ Check Sits under",IF($AC126=2,"△ Outside the portfolio",IF($AB126=1,"△ No sponsor",IF($AH126=1,"△ Name used twice",IF($AG126=1,"△ Budget only counts under Portfolio","△ No variance note"))))))&amp;IF($AE126&gt;1," (+"&amp;($AE126-1)&amp;" more)","")))</f>
        <v/>
      </c>
      <c r="Q126" s="28">
        <f>IF(AND($A126&lt;&gt;"",OR($D126="Active",$D126="Paused")),1,0)</f>
        <v/>
      </c>
      <c r="R126" s="28">
        <f>IFERROR(INDEX($A$6:$A$305,MATCH(119,$S$6:$S$305,0)),"")</f>
        <v/>
      </c>
      <c r="S126" s="28">
        <f>IF(AND($A126&lt;&gt;"",$B126="Program"),COUNTIFS($B$6:$B126,"Program",$A$6:$A126,"&lt;&gt;"),"")</f>
        <v/>
      </c>
      <c r="T126" s="30">
        <f>IF(AND($A126&lt;&gt;"",$B126="Program"),SUMPRODUCT(MAX(($C$6:$C$305=$A126)*($B$6:$B$305="Project")*($D$6:$D$305&lt;&gt;"Proposed")*$I$6:$I$305)),0)</f>
        <v/>
      </c>
      <c r="U126" s="30">
        <f>IF($I126&lt;&gt;"",$I126,IF($T126&gt;0,$T126,""))</f>
        <v/>
      </c>
      <c r="V126" s="28">
        <f>IF(AND($A126&lt;&gt;"",$B126="Program"),SUMIFS($J$6:$J$305,$C$6:$C$305,$A126,$B$6:$B$305,"Project",$D$6:$D$305,"&lt;&gt;Proposed"),0)</f>
        <v/>
      </c>
      <c r="W126" s="28">
        <f>IF(AND($A126&lt;&gt;"",$B126="Program"),COUNTIFS($C$6:$C$305,$A126,$B$6:$B$305,"Project",$D$6:$D$305,"&lt;&gt;Proposed")-COUNTIFS($C$6:$C$305,$A126,$B$6:$B$305,"Project",$D$6:$D$305,"&lt;&gt;Proposed",$J$6:$J$305,"&gt;=0"),0)</f>
        <v/>
      </c>
      <c r="X126" s="28">
        <f>IF(OR($Q126=0,$H126="",$AF126="Sprint"),0,IF(AND($B126="Project",$H126&lt;TODAY()),3,IF($U126="",0,IF($U126&lt;=$H126,1,IF(NETWORKDAYS($H126,$U126)-1&gt;IF($B126="Program",Checks!$B$7,Checks!$B$6),3,2)))))</f>
        <v/>
      </c>
      <c r="Y126" s="28">
        <f>IF(OR($Q126=0,$K126="",$K126=0,$AF126="Sprint"),0,IF(AND($B126="Project",$J126=""),0,IF(IF($B126="Program",$V126,$J126)&gt;$K126*(1+Checks!$B$8),3,IF(IF($B126="Program",$V126,$J126)&gt;$K126,2,IF(AND($B126="Program",OR($W126&gt;0,$V126=0)),0,1)))))</f>
        <v/>
      </c>
      <c r="Z126" s="28">
        <f>IF($A126="",0,IF($C126="Portfolio",1,IF(AND($B126="Project",$C126&lt;&gt;"",$C126&lt;&gt;"Outside the portfolio"),IFERROR(IF(AND(INDEX($B$6:$B$305,MATCH($C126,$A$6:$A$305,0))="Program",INDEX($C$6:$C$305,MATCH($C126,$A$6:$A$305,0))="Portfolio"),1,0),0),0)))</f>
        <v/>
      </c>
      <c r="AA126" s="28">
        <f>IF(AND($A126&lt;&gt;"",$E126="",OR($Q126=1,$D126="Proposed")),1,0)</f>
        <v/>
      </c>
      <c r="AB126" s="28">
        <f>IF(AND($A126&lt;&gt;"",$B126="Program",$F126="",$Q126=1),1,0)</f>
        <v/>
      </c>
      <c r="AC126" s="28">
        <f>IF(OR($A126="",$D126="Completed",$D126="Terminated"),0,IF($C126="",1,IF($C126="Portfolio",0,IF($C126="Outside the portfolio",IF($Q126=1,2,0),IF($B126="Project",IF(IFERROR(INDEX($B$6:$B$305,MATCH($C126,$A$6:$A$305,0)),"")="Program",0,1),1)))))</f>
        <v/>
      </c>
      <c r="AD126" s="28">
        <f>IF(AND($A126&lt;&gt;"",OR($M126="■ Red",$M126="◧ Amber"),$L126=""),1,0)</f>
        <v/>
      </c>
      <c r="AE126" s="28">
        <f>$AA126+$AB126+IF($AC126&gt;0,1,0)+$AD126+$AG126+$AH126</f>
        <v/>
      </c>
      <c r="AF126" s="25" t="n"/>
      <c r="AG126" s="28">
        <f>IF(AND($A126&lt;&gt;"",$K126&lt;&gt;"",$C126&lt;&gt;"Portfolio",$D126&lt;&gt;"Completed",$D126&lt;&gt;"Terminated"),1,0)</f>
        <v/>
      </c>
      <c r="AH126" s="28">
        <f>IF(AND($A126&lt;&gt;"",COUNTIF($A$6:$A$305,$A126)&gt;1),1,0)</f>
        <v/>
      </c>
      <c r="AI126" s="28">
        <f>IF(AND($A126&lt;&gt;"",$C126="Portfolio"),COUNTIFS($C$6:$C126,"Portfolio",$A$6:$A126,"&lt;&gt;"),"")</f>
        <v/>
      </c>
    </row>
    <row r="127">
      <c r="A127" s="25" t="n"/>
      <c r="B127" s="25" t="n"/>
      <c r="C127" s="25" t="n"/>
      <c r="D127" s="25" t="n"/>
      <c r="E127" s="25" t="n"/>
      <c r="F127" s="25" t="n"/>
      <c r="G127" s="25" t="n"/>
      <c r="H127" s="26" t="n"/>
      <c r="I127" s="26" t="n"/>
      <c r="J127" s="27" t="n"/>
      <c r="K127" s="27" t="n"/>
      <c r="L127" s="23" t="n"/>
      <c r="M127" s="28">
        <f>IF($A127="","",IF($D127="","Not read",IF($Q127=0,"Not counted",IF(MAX($X127,$Y127)=3,"■ Red",IF(MAX($X127,$Y127)=2,"◧ Amber",IF(MAX($X127,$Y127)=1,"□ On track","Not read"))))))</f>
        <v/>
      </c>
      <c r="N127" s="28">
        <f>IF(OR($A127="",$B127&lt;&gt;"Program"),"","■ "&amp;COUNTIFS($C$6:$C$305,$A127,$M$6:$M$305,"■ Red")&amp;" Red, ◧ "&amp;COUNTIFS($C$6:$C$305,$A127,$M$6:$M$305,"◧ Amber")&amp;" Amber")</f>
        <v/>
      </c>
      <c r="O127" s="29">
        <f>IF(OR($A127="",$E127=""),"",COUNTIFS($E$6:$E$305,$E127,$D$6:$D$305,"Active")+COUNTIFS($E$6:$E$305,$E127,$D$6:$D$305,"Paused"))</f>
        <v/>
      </c>
      <c r="P127" s="28">
        <f>IF($A127="","",IF($AE127=0,"○ Clear",IF($AA127=1,"△ No owner",IF($AC127=1,"△ Check Sits under",IF($AC127=2,"△ Outside the portfolio",IF($AB127=1,"△ No sponsor",IF($AH127=1,"△ Name used twice",IF($AG127=1,"△ Budget only counts under Portfolio","△ No variance note"))))))&amp;IF($AE127&gt;1," (+"&amp;($AE127-1)&amp;" more)","")))</f>
        <v/>
      </c>
      <c r="Q127" s="28">
        <f>IF(AND($A127&lt;&gt;"",OR($D127="Active",$D127="Paused")),1,0)</f>
        <v/>
      </c>
      <c r="R127" s="28">
        <f>IFERROR(INDEX($A$6:$A$305,MATCH(120,$S$6:$S$305,0)),"")</f>
        <v/>
      </c>
      <c r="S127" s="28">
        <f>IF(AND($A127&lt;&gt;"",$B127="Program"),COUNTIFS($B$6:$B127,"Program",$A$6:$A127,"&lt;&gt;"),"")</f>
        <v/>
      </c>
      <c r="T127" s="30">
        <f>IF(AND($A127&lt;&gt;"",$B127="Program"),SUMPRODUCT(MAX(($C$6:$C$305=$A127)*($B$6:$B$305="Project")*($D$6:$D$305&lt;&gt;"Proposed")*$I$6:$I$305)),0)</f>
        <v/>
      </c>
      <c r="U127" s="30">
        <f>IF($I127&lt;&gt;"",$I127,IF($T127&gt;0,$T127,""))</f>
        <v/>
      </c>
      <c r="V127" s="28">
        <f>IF(AND($A127&lt;&gt;"",$B127="Program"),SUMIFS($J$6:$J$305,$C$6:$C$305,$A127,$B$6:$B$305,"Project",$D$6:$D$305,"&lt;&gt;Proposed"),0)</f>
        <v/>
      </c>
      <c r="W127" s="28">
        <f>IF(AND($A127&lt;&gt;"",$B127="Program"),COUNTIFS($C$6:$C$305,$A127,$B$6:$B$305,"Project",$D$6:$D$305,"&lt;&gt;Proposed")-COUNTIFS($C$6:$C$305,$A127,$B$6:$B$305,"Project",$D$6:$D$305,"&lt;&gt;Proposed",$J$6:$J$305,"&gt;=0"),0)</f>
        <v/>
      </c>
      <c r="X127" s="28">
        <f>IF(OR($Q127=0,$H127="",$AF127="Sprint"),0,IF(AND($B127="Project",$H127&lt;TODAY()),3,IF($U127="",0,IF($U127&lt;=$H127,1,IF(NETWORKDAYS($H127,$U127)-1&gt;IF($B127="Program",Checks!$B$7,Checks!$B$6),3,2)))))</f>
        <v/>
      </c>
      <c r="Y127" s="28">
        <f>IF(OR($Q127=0,$K127="",$K127=0,$AF127="Sprint"),0,IF(AND($B127="Project",$J127=""),0,IF(IF($B127="Program",$V127,$J127)&gt;$K127*(1+Checks!$B$8),3,IF(IF($B127="Program",$V127,$J127)&gt;$K127,2,IF(AND($B127="Program",OR($W127&gt;0,$V127=0)),0,1)))))</f>
        <v/>
      </c>
      <c r="Z127" s="28">
        <f>IF($A127="",0,IF($C127="Portfolio",1,IF(AND($B127="Project",$C127&lt;&gt;"",$C127&lt;&gt;"Outside the portfolio"),IFERROR(IF(AND(INDEX($B$6:$B$305,MATCH($C127,$A$6:$A$305,0))="Program",INDEX($C$6:$C$305,MATCH($C127,$A$6:$A$305,0))="Portfolio"),1,0),0),0)))</f>
        <v/>
      </c>
      <c r="AA127" s="28">
        <f>IF(AND($A127&lt;&gt;"",$E127="",OR($Q127=1,$D127="Proposed")),1,0)</f>
        <v/>
      </c>
      <c r="AB127" s="28">
        <f>IF(AND($A127&lt;&gt;"",$B127="Program",$F127="",$Q127=1),1,0)</f>
        <v/>
      </c>
      <c r="AC127" s="28">
        <f>IF(OR($A127="",$D127="Completed",$D127="Terminated"),0,IF($C127="",1,IF($C127="Portfolio",0,IF($C127="Outside the portfolio",IF($Q127=1,2,0),IF($B127="Project",IF(IFERROR(INDEX($B$6:$B$305,MATCH($C127,$A$6:$A$305,0)),"")="Program",0,1),1)))))</f>
        <v/>
      </c>
      <c r="AD127" s="28">
        <f>IF(AND($A127&lt;&gt;"",OR($M127="■ Red",$M127="◧ Amber"),$L127=""),1,0)</f>
        <v/>
      </c>
      <c r="AE127" s="28">
        <f>$AA127+$AB127+IF($AC127&gt;0,1,0)+$AD127+$AG127+$AH127</f>
        <v/>
      </c>
      <c r="AF127" s="25" t="n"/>
      <c r="AG127" s="28">
        <f>IF(AND($A127&lt;&gt;"",$K127&lt;&gt;"",$C127&lt;&gt;"Portfolio",$D127&lt;&gt;"Completed",$D127&lt;&gt;"Terminated"),1,0)</f>
        <v/>
      </c>
      <c r="AH127" s="28">
        <f>IF(AND($A127&lt;&gt;"",COUNTIF($A$6:$A$305,$A127)&gt;1),1,0)</f>
        <v/>
      </c>
      <c r="AI127" s="28">
        <f>IF(AND($A127&lt;&gt;"",$C127="Portfolio"),COUNTIFS($C$6:$C127,"Portfolio",$A$6:$A127,"&lt;&gt;"),"")</f>
        <v/>
      </c>
    </row>
    <row r="128">
      <c r="A128" s="25" t="n"/>
      <c r="B128" s="25" t="n"/>
      <c r="C128" s="25" t="n"/>
      <c r="D128" s="25" t="n"/>
      <c r="E128" s="25" t="n"/>
      <c r="F128" s="25" t="n"/>
      <c r="G128" s="25" t="n"/>
      <c r="H128" s="26" t="n"/>
      <c r="I128" s="26" t="n"/>
      <c r="J128" s="27" t="n"/>
      <c r="K128" s="27" t="n"/>
      <c r="L128" s="23" t="n"/>
      <c r="M128" s="28">
        <f>IF($A128="","",IF($D128="","Not read",IF($Q128=0,"Not counted",IF(MAX($X128,$Y128)=3,"■ Red",IF(MAX($X128,$Y128)=2,"◧ Amber",IF(MAX($X128,$Y128)=1,"□ On track","Not read"))))))</f>
        <v/>
      </c>
      <c r="N128" s="28">
        <f>IF(OR($A128="",$B128&lt;&gt;"Program"),"","■ "&amp;COUNTIFS($C$6:$C$305,$A128,$M$6:$M$305,"■ Red")&amp;" Red, ◧ "&amp;COUNTIFS($C$6:$C$305,$A128,$M$6:$M$305,"◧ Amber")&amp;" Amber")</f>
        <v/>
      </c>
      <c r="O128" s="29">
        <f>IF(OR($A128="",$E128=""),"",COUNTIFS($E$6:$E$305,$E128,$D$6:$D$305,"Active")+COUNTIFS($E$6:$E$305,$E128,$D$6:$D$305,"Paused"))</f>
        <v/>
      </c>
      <c r="P128" s="28">
        <f>IF($A128="","",IF($AE128=0,"○ Clear",IF($AA128=1,"△ No owner",IF($AC128=1,"△ Check Sits under",IF($AC128=2,"△ Outside the portfolio",IF($AB128=1,"△ No sponsor",IF($AH128=1,"△ Name used twice",IF($AG128=1,"△ Budget only counts under Portfolio","△ No variance note"))))))&amp;IF($AE128&gt;1," (+"&amp;($AE128-1)&amp;" more)","")))</f>
        <v/>
      </c>
      <c r="Q128" s="28">
        <f>IF(AND($A128&lt;&gt;"",OR($D128="Active",$D128="Paused")),1,0)</f>
        <v/>
      </c>
      <c r="R128" s="28">
        <f>IFERROR(INDEX($A$6:$A$305,MATCH(121,$S$6:$S$305,0)),"")</f>
        <v/>
      </c>
      <c r="S128" s="28">
        <f>IF(AND($A128&lt;&gt;"",$B128="Program"),COUNTIFS($B$6:$B128,"Program",$A$6:$A128,"&lt;&gt;"),"")</f>
        <v/>
      </c>
      <c r="T128" s="30">
        <f>IF(AND($A128&lt;&gt;"",$B128="Program"),SUMPRODUCT(MAX(($C$6:$C$305=$A128)*($B$6:$B$305="Project")*($D$6:$D$305&lt;&gt;"Proposed")*$I$6:$I$305)),0)</f>
        <v/>
      </c>
      <c r="U128" s="30">
        <f>IF($I128&lt;&gt;"",$I128,IF($T128&gt;0,$T128,""))</f>
        <v/>
      </c>
      <c r="V128" s="28">
        <f>IF(AND($A128&lt;&gt;"",$B128="Program"),SUMIFS($J$6:$J$305,$C$6:$C$305,$A128,$B$6:$B$305,"Project",$D$6:$D$305,"&lt;&gt;Proposed"),0)</f>
        <v/>
      </c>
      <c r="W128" s="28">
        <f>IF(AND($A128&lt;&gt;"",$B128="Program"),COUNTIFS($C$6:$C$305,$A128,$B$6:$B$305,"Project",$D$6:$D$305,"&lt;&gt;Proposed")-COUNTIFS($C$6:$C$305,$A128,$B$6:$B$305,"Project",$D$6:$D$305,"&lt;&gt;Proposed",$J$6:$J$305,"&gt;=0"),0)</f>
        <v/>
      </c>
      <c r="X128" s="28">
        <f>IF(OR($Q128=0,$H128="",$AF128="Sprint"),0,IF(AND($B128="Project",$H128&lt;TODAY()),3,IF($U128="",0,IF($U128&lt;=$H128,1,IF(NETWORKDAYS($H128,$U128)-1&gt;IF($B128="Program",Checks!$B$7,Checks!$B$6),3,2)))))</f>
        <v/>
      </c>
      <c r="Y128" s="28">
        <f>IF(OR($Q128=0,$K128="",$K128=0,$AF128="Sprint"),0,IF(AND($B128="Project",$J128=""),0,IF(IF($B128="Program",$V128,$J128)&gt;$K128*(1+Checks!$B$8),3,IF(IF($B128="Program",$V128,$J128)&gt;$K128,2,IF(AND($B128="Program",OR($W128&gt;0,$V128=0)),0,1)))))</f>
        <v/>
      </c>
      <c r="Z128" s="28">
        <f>IF($A128="",0,IF($C128="Portfolio",1,IF(AND($B128="Project",$C128&lt;&gt;"",$C128&lt;&gt;"Outside the portfolio"),IFERROR(IF(AND(INDEX($B$6:$B$305,MATCH($C128,$A$6:$A$305,0))="Program",INDEX($C$6:$C$305,MATCH($C128,$A$6:$A$305,0))="Portfolio"),1,0),0),0)))</f>
        <v/>
      </c>
      <c r="AA128" s="28">
        <f>IF(AND($A128&lt;&gt;"",$E128="",OR($Q128=1,$D128="Proposed")),1,0)</f>
        <v/>
      </c>
      <c r="AB128" s="28">
        <f>IF(AND($A128&lt;&gt;"",$B128="Program",$F128="",$Q128=1),1,0)</f>
        <v/>
      </c>
      <c r="AC128" s="28">
        <f>IF(OR($A128="",$D128="Completed",$D128="Terminated"),0,IF($C128="",1,IF($C128="Portfolio",0,IF($C128="Outside the portfolio",IF($Q128=1,2,0),IF($B128="Project",IF(IFERROR(INDEX($B$6:$B$305,MATCH($C128,$A$6:$A$305,0)),"")="Program",0,1),1)))))</f>
        <v/>
      </c>
      <c r="AD128" s="28">
        <f>IF(AND($A128&lt;&gt;"",OR($M128="■ Red",$M128="◧ Amber"),$L128=""),1,0)</f>
        <v/>
      </c>
      <c r="AE128" s="28">
        <f>$AA128+$AB128+IF($AC128&gt;0,1,0)+$AD128+$AG128+$AH128</f>
        <v/>
      </c>
      <c r="AF128" s="25" t="n"/>
      <c r="AG128" s="28">
        <f>IF(AND($A128&lt;&gt;"",$K128&lt;&gt;"",$C128&lt;&gt;"Portfolio",$D128&lt;&gt;"Completed",$D128&lt;&gt;"Terminated"),1,0)</f>
        <v/>
      </c>
      <c r="AH128" s="28">
        <f>IF(AND($A128&lt;&gt;"",COUNTIF($A$6:$A$305,$A128)&gt;1),1,0)</f>
        <v/>
      </c>
      <c r="AI128" s="28">
        <f>IF(AND($A128&lt;&gt;"",$C128="Portfolio"),COUNTIFS($C$6:$C128,"Portfolio",$A$6:$A128,"&lt;&gt;"),"")</f>
        <v/>
      </c>
    </row>
    <row r="129">
      <c r="A129" s="25" t="n"/>
      <c r="B129" s="25" t="n"/>
      <c r="C129" s="25" t="n"/>
      <c r="D129" s="25" t="n"/>
      <c r="E129" s="25" t="n"/>
      <c r="F129" s="25" t="n"/>
      <c r="G129" s="25" t="n"/>
      <c r="H129" s="26" t="n"/>
      <c r="I129" s="26" t="n"/>
      <c r="J129" s="27" t="n"/>
      <c r="K129" s="27" t="n"/>
      <c r="L129" s="23" t="n"/>
      <c r="M129" s="28">
        <f>IF($A129="","",IF($D129="","Not read",IF($Q129=0,"Not counted",IF(MAX($X129,$Y129)=3,"■ Red",IF(MAX($X129,$Y129)=2,"◧ Amber",IF(MAX($X129,$Y129)=1,"□ On track","Not read"))))))</f>
        <v/>
      </c>
      <c r="N129" s="28">
        <f>IF(OR($A129="",$B129&lt;&gt;"Program"),"","■ "&amp;COUNTIFS($C$6:$C$305,$A129,$M$6:$M$305,"■ Red")&amp;" Red, ◧ "&amp;COUNTIFS($C$6:$C$305,$A129,$M$6:$M$305,"◧ Amber")&amp;" Amber")</f>
        <v/>
      </c>
      <c r="O129" s="29">
        <f>IF(OR($A129="",$E129=""),"",COUNTIFS($E$6:$E$305,$E129,$D$6:$D$305,"Active")+COUNTIFS($E$6:$E$305,$E129,$D$6:$D$305,"Paused"))</f>
        <v/>
      </c>
      <c r="P129" s="28">
        <f>IF($A129="","",IF($AE129=0,"○ Clear",IF($AA129=1,"△ No owner",IF($AC129=1,"△ Check Sits under",IF($AC129=2,"△ Outside the portfolio",IF($AB129=1,"△ No sponsor",IF($AH129=1,"△ Name used twice",IF($AG129=1,"△ Budget only counts under Portfolio","△ No variance note"))))))&amp;IF($AE129&gt;1," (+"&amp;($AE129-1)&amp;" more)","")))</f>
        <v/>
      </c>
      <c r="Q129" s="28">
        <f>IF(AND($A129&lt;&gt;"",OR($D129="Active",$D129="Paused")),1,0)</f>
        <v/>
      </c>
      <c r="R129" s="28">
        <f>IFERROR(INDEX($A$6:$A$305,MATCH(122,$S$6:$S$305,0)),"")</f>
        <v/>
      </c>
      <c r="S129" s="28">
        <f>IF(AND($A129&lt;&gt;"",$B129="Program"),COUNTIFS($B$6:$B129,"Program",$A$6:$A129,"&lt;&gt;"),"")</f>
        <v/>
      </c>
      <c r="T129" s="30">
        <f>IF(AND($A129&lt;&gt;"",$B129="Program"),SUMPRODUCT(MAX(($C$6:$C$305=$A129)*($B$6:$B$305="Project")*($D$6:$D$305&lt;&gt;"Proposed")*$I$6:$I$305)),0)</f>
        <v/>
      </c>
      <c r="U129" s="30">
        <f>IF($I129&lt;&gt;"",$I129,IF($T129&gt;0,$T129,""))</f>
        <v/>
      </c>
      <c r="V129" s="28">
        <f>IF(AND($A129&lt;&gt;"",$B129="Program"),SUMIFS($J$6:$J$305,$C$6:$C$305,$A129,$B$6:$B$305,"Project",$D$6:$D$305,"&lt;&gt;Proposed"),0)</f>
        <v/>
      </c>
      <c r="W129" s="28">
        <f>IF(AND($A129&lt;&gt;"",$B129="Program"),COUNTIFS($C$6:$C$305,$A129,$B$6:$B$305,"Project",$D$6:$D$305,"&lt;&gt;Proposed")-COUNTIFS($C$6:$C$305,$A129,$B$6:$B$305,"Project",$D$6:$D$305,"&lt;&gt;Proposed",$J$6:$J$305,"&gt;=0"),0)</f>
        <v/>
      </c>
      <c r="X129" s="28">
        <f>IF(OR($Q129=0,$H129="",$AF129="Sprint"),0,IF(AND($B129="Project",$H129&lt;TODAY()),3,IF($U129="",0,IF($U129&lt;=$H129,1,IF(NETWORKDAYS($H129,$U129)-1&gt;IF($B129="Program",Checks!$B$7,Checks!$B$6),3,2)))))</f>
        <v/>
      </c>
      <c r="Y129" s="28">
        <f>IF(OR($Q129=0,$K129="",$K129=0,$AF129="Sprint"),0,IF(AND($B129="Project",$J129=""),0,IF(IF($B129="Program",$V129,$J129)&gt;$K129*(1+Checks!$B$8),3,IF(IF($B129="Program",$V129,$J129)&gt;$K129,2,IF(AND($B129="Program",OR($W129&gt;0,$V129=0)),0,1)))))</f>
        <v/>
      </c>
      <c r="Z129" s="28">
        <f>IF($A129="",0,IF($C129="Portfolio",1,IF(AND($B129="Project",$C129&lt;&gt;"",$C129&lt;&gt;"Outside the portfolio"),IFERROR(IF(AND(INDEX($B$6:$B$305,MATCH($C129,$A$6:$A$305,0))="Program",INDEX($C$6:$C$305,MATCH($C129,$A$6:$A$305,0))="Portfolio"),1,0),0),0)))</f>
        <v/>
      </c>
      <c r="AA129" s="28">
        <f>IF(AND($A129&lt;&gt;"",$E129="",OR($Q129=1,$D129="Proposed")),1,0)</f>
        <v/>
      </c>
      <c r="AB129" s="28">
        <f>IF(AND($A129&lt;&gt;"",$B129="Program",$F129="",$Q129=1),1,0)</f>
        <v/>
      </c>
      <c r="AC129" s="28">
        <f>IF(OR($A129="",$D129="Completed",$D129="Terminated"),0,IF($C129="",1,IF($C129="Portfolio",0,IF($C129="Outside the portfolio",IF($Q129=1,2,0),IF($B129="Project",IF(IFERROR(INDEX($B$6:$B$305,MATCH($C129,$A$6:$A$305,0)),"")="Program",0,1),1)))))</f>
        <v/>
      </c>
      <c r="AD129" s="28">
        <f>IF(AND($A129&lt;&gt;"",OR($M129="■ Red",$M129="◧ Amber"),$L129=""),1,0)</f>
        <v/>
      </c>
      <c r="AE129" s="28">
        <f>$AA129+$AB129+IF($AC129&gt;0,1,0)+$AD129+$AG129+$AH129</f>
        <v/>
      </c>
      <c r="AF129" s="25" t="n"/>
      <c r="AG129" s="28">
        <f>IF(AND($A129&lt;&gt;"",$K129&lt;&gt;"",$C129&lt;&gt;"Portfolio",$D129&lt;&gt;"Completed",$D129&lt;&gt;"Terminated"),1,0)</f>
        <v/>
      </c>
      <c r="AH129" s="28">
        <f>IF(AND($A129&lt;&gt;"",COUNTIF($A$6:$A$305,$A129)&gt;1),1,0)</f>
        <v/>
      </c>
      <c r="AI129" s="28">
        <f>IF(AND($A129&lt;&gt;"",$C129="Portfolio"),COUNTIFS($C$6:$C129,"Portfolio",$A$6:$A129,"&lt;&gt;"),"")</f>
        <v/>
      </c>
    </row>
    <row r="130">
      <c r="A130" s="25" t="n"/>
      <c r="B130" s="25" t="n"/>
      <c r="C130" s="25" t="n"/>
      <c r="D130" s="25" t="n"/>
      <c r="E130" s="25" t="n"/>
      <c r="F130" s="25" t="n"/>
      <c r="G130" s="25" t="n"/>
      <c r="H130" s="26" t="n"/>
      <c r="I130" s="26" t="n"/>
      <c r="J130" s="27" t="n"/>
      <c r="K130" s="27" t="n"/>
      <c r="L130" s="23" t="n"/>
      <c r="M130" s="28">
        <f>IF($A130="","",IF($D130="","Not read",IF($Q130=0,"Not counted",IF(MAX($X130,$Y130)=3,"■ Red",IF(MAX($X130,$Y130)=2,"◧ Amber",IF(MAX($X130,$Y130)=1,"□ On track","Not read"))))))</f>
        <v/>
      </c>
      <c r="N130" s="28">
        <f>IF(OR($A130="",$B130&lt;&gt;"Program"),"","■ "&amp;COUNTIFS($C$6:$C$305,$A130,$M$6:$M$305,"■ Red")&amp;" Red, ◧ "&amp;COUNTIFS($C$6:$C$305,$A130,$M$6:$M$305,"◧ Amber")&amp;" Amber")</f>
        <v/>
      </c>
      <c r="O130" s="29">
        <f>IF(OR($A130="",$E130=""),"",COUNTIFS($E$6:$E$305,$E130,$D$6:$D$305,"Active")+COUNTIFS($E$6:$E$305,$E130,$D$6:$D$305,"Paused"))</f>
        <v/>
      </c>
      <c r="P130" s="28">
        <f>IF($A130="","",IF($AE130=0,"○ Clear",IF($AA130=1,"△ No owner",IF($AC130=1,"△ Check Sits under",IF($AC130=2,"△ Outside the portfolio",IF($AB130=1,"△ No sponsor",IF($AH130=1,"△ Name used twice",IF($AG130=1,"△ Budget only counts under Portfolio","△ No variance note"))))))&amp;IF($AE130&gt;1," (+"&amp;($AE130-1)&amp;" more)","")))</f>
        <v/>
      </c>
      <c r="Q130" s="28">
        <f>IF(AND($A130&lt;&gt;"",OR($D130="Active",$D130="Paused")),1,0)</f>
        <v/>
      </c>
      <c r="R130" s="28">
        <f>IFERROR(INDEX($A$6:$A$305,MATCH(123,$S$6:$S$305,0)),"")</f>
        <v/>
      </c>
      <c r="S130" s="28">
        <f>IF(AND($A130&lt;&gt;"",$B130="Program"),COUNTIFS($B$6:$B130,"Program",$A$6:$A130,"&lt;&gt;"),"")</f>
        <v/>
      </c>
      <c r="T130" s="30">
        <f>IF(AND($A130&lt;&gt;"",$B130="Program"),SUMPRODUCT(MAX(($C$6:$C$305=$A130)*($B$6:$B$305="Project")*($D$6:$D$305&lt;&gt;"Proposed")*$I$6:$I$305)),0)</f>
        <v/>
      </c>
      <c r="U130" s="30">
        <f>IF($I130&lt;&gt;"",$I130,IF($T130&gt;0,$T130,""))</f>
        <v/>
      </c>
      <c r="V130" s="28">
        <f>IF(AND($A130&lt;&gt;"",$B130="Program"),SUMIFS($J$6:$J$305,$C$6:$C$305,$A130,$B$6:$B$305,"Project",$D$6:$D$305,"&lt;&gt;Proposed"),0)</f>
        <v/>
      </c>
      <c r="W130" s="28">
        <f>IF(AND($A130&lt;&gt;"",$B130="Program"),COUNTIFS($C$6:$C$305,$A130,$B$6:$B$305,"Project",$D$6:$D$305,"&lt;&gt;Proposed")-COUNTIFS($C$6:$C$305,$A130,$B$6:$B$305,"Project",$D$6:$D$305,"&lt;&gt;Proposed",$J$6:$J$305,"&gt;=0"),0)</f>
        <v/>
      </c>
      <c r="X130" s="28">
        <f>IF(OR($Q130=0,$H130="",$AF130="Sprint"),0,IF(AND($B130="Project",$H130&lt;TODAY()),3,IF($U130="",0,IF($U130&lt;=$H130,1,IF(NETWORKDAYS($H130,$U130)-1&gt;IF($B130="Program",Checks!$B$7,Checks!$B$6),3,2)))))</f>
        <v/>
      </c>
      <c r="Y130" s="28">
        <f>IF(OR($Q130=0,$K130="",$K130=0,$AF130="Sprint"),0,IF(AND($B130="Project",$J130=""),0,IF(IF($B130="Program",$V130,$J130)&gt;$K130*(1+Checks!$B$8),3,IF(IF($B130="Program",$V130,$J130)&gt;$K130,2,IF(AND($B130="Program",OR($W130&gt;0,$V130=0)),0,1)))))</f>
        <v/>
      </c>
      <c r="Z130" s="28">
        <f>IF($A130="",0,IF($C130="Portfolio",1,IF(AND($B130="Project",$C130&lt;&gt;"",$C130&lt;&gt;"Outside the portfolio"),IFERROR(IF(AND(INDEX($B$6:$B$305,MATCH($C130,$A$6:$A$305,0))="Program",INDEX($C$6:$C$305,MATCH($C130,$A$6:$A$305,0))="Portfolio"),1,0),0),0)))</f>
        <v/>
      </c>
      <c r="AA130" s="28">
        <f>IF(AND($A130&lt;&gt;"",$E130="",OR($Q130=1,$D130="Proposed")),1,0)</f>
        <v/>
      </c>
      <c r="AB130" s="28">
        <f>IF(AND($A130&lt;&gt;"",$B130="Program",$F130="",$Q130=1),1,0)</f>
        <v/>
      </c>
      <c r="AC130" s="28">
        <f>IF(OR($A130="",$D130="Completed",$D130="Terminated"),0,IF($C130="",1,IF($C130="Portfolio",0,IF($C130="Outside the portfolio",IF($Q130=1,2,0),IF($B130="Project",IF(IFERROR(INDEX($B$6:$B$305,MATCH($C130,$A$6:$A$305,0)),"")="Program",0,1),1)))))</f>
        <v/>
      </c>
      <c r="AD130" s="28">
        <f>IF(AND($A130&lt;&gt;"",OR($M130="■ Red",$M130="◧ Amber"),$L130=""),1,0)</f>
        <v/>
      </c>
      <c r="AE130" s="28">
        <f>$AA130+$AB130+IF($AC130&gt;0,1,0)+$AD130+$AG130+$AH130</f>
        <v/>
      </c>
      <c r="AF130" s="25" t="n"/>
      <c r="AG130" s="28">
        <f>IF(AND($A130&lt;&gt;"",$K130&lt;&gt;"",$C130&lt;&gt;"Portfolio",$D130&lt;&gt;"Completed",$D130&lt;&gt;"Terminated"),1,0)</f>
        <v/>
      </c>
      <c r="AH130" s="28">
        <f>IF(AND($A130&lt;&gt;"",COUNTIF($A$6:$A$305,$A130)&gt;1),1,0)</f>
        <v/>
      </c>
      <c r="AI130" s="28">
        <f>IF(AND($A130&lt;&gt;"",$C130="Portfolio"),COUNTIFS($C$6:$C130,"Portfolio",$A$6:$A130,"&lt;&gt;"),"")</f>
        <v/>
      </c>
    </row>
    <row r="131">
      <c r="A131" s="25" t="n"/>
      <c r="B131" s="25" t="n"/>
      <c r="C131" s="25" t="n"/>
      <c r="D131" s="25" t="n"/>
      <c r="E131" s="25" t="n"/>
      <c r="F131" s="25" t="n"/>
      <c r="G131" s="25" t="n"/>
      <c r="H131" s="26" t="n"/>
      <c r="I131" s="26" t="n"/>
      <c r="J131" s="27" t="n"/>
      <c r="K131" s="27" t="n"/>
      <c r="L131" s="23" t="n"/>
      <c r="M131" s="28">
        <f>IF($A131="","",IF($D131="","Not read",IF($Q131=0,"Not counted",IF(MAX($X131,$Y131)=3,"■ Red",IF(MAX($X131,$Y131)=2,"◧ Amber",IF(MAX($X131,$Y131)=1,"□ On track","Not read"))))))</f>
        <v/>
      </c>
      <c r="N131" s="28">
        <f>IF(OR($A131="",$B131&lt;&gt;"Program"),"","■ "&amp;COUNTIFS($C$6:$C$305,$A131,$M$6:$M$305,"■ Red")&amp;" Red, ◧ "&amp;COUNTIFS($C$6:$C$305,$A131,$M$6:$M$305,"◧ Amber")&amp;" Amber")</f>
        <v/>
      </c>
      <c r="O131" s="29">
        <f>IF(OR($A131="",$E131=""),"",COUNTIFS($E$6:$E$305,$E131,$D$6:$D$305,"Active")+COUNTIFS($E$6:$E$305,$E131,$D$6:$D$305,"Paused"))</f>
        <v/>
      </c>
      <c r="P131" s="28">
        <f>IF($A131="","",IF($AE131=0,"○ Clear",IF($AA131=1,"△ No owner",IF($AC131=1,"△ Check Sits under",IF($AC131=2,"△ Outside the portfolio",IF($AB131=1,"△ No sponsor",IF($AH131=1,"△ Name used twice",IF($AG131=1,"△ Budget only counts under Portfolio","△ No variance note"))))))&amp;IF($AE131&gt;1," (+"&amp;($AE131-1)&amp;" more)","")))</f>
        <v/>
      </c>
      <c r="Q131" s="28">
        <f>IF(AND($A131&lt;&gt;"",OR($D131="Active",$D131="Paused")),1,0)</f>
        <v/>
      </c>
      <c r="R131" s="28">
        <f>IFERROR(INDEX($A$6:$A$305,MATCH(124,$S$6:$S$305,0)),"")</f>
        <v/>
      </c>
      <c r="S131" s="28">
        <f>IF(AND($A131&lt;&gt;"",$B131="Program"),COUNTIFS($B$6:$B131,"Program",$A$6:$A131,"&lt;&gt;"),"")</f>
        <v/>
      </c>
      <c r="T131" s="30">
        <f>IF(AND($A131&lt;&gt;"",$B131="Program"),SUMPRODUCT(MAX(($C$6:$C$305=$A131)*($B$6:$B$305="Project")*($D$6:$D$305&lt;&gt;"Proposed")*$I$6:$I$305)),0)</f>
        <v/>
      </c>
      <c r="U131" s="30">
        <f>IF($I131&lt;&gt;"",$I131,IF($T131&gt;0,$T131,""))</f>
        <v/>
      </c>
      <c r="V131" s="28">
        <f>IF(AND($A131&lt;&gt;"",$B131="Program"),SUMIFS($J$6:$J$305,$C$6:$C$305,$A131,$B$6:$B$305,"Project",$D$6:$D$305,"&lt;&gt;Proposed"),0)</f>
        <v/>
      </c>
      <c r="W131" s="28">
        <f>IF(AND($A131&lt;&gt;"",$B131="Program"),COUNTIFS($C$6:$C$305,$A131,$B$6:$B$305,"Project",$D$6:$D$305,"&lt;&gt;Proposed")-COUNTIFS($C$6:$C$305,$A131,$B$6:$B$305,"Project",$D$6:$D$305,"&lt;&gt;Proposed",$J$6:$J$305,"&gt;=0"),0)</f>
        <v/>
      </c>
      <c r="X131" s="28">
        <f>IF(OR($Q131=0,$H131="",$AF131="Sprint"),0,IF(AND($B131="Project",$H131&lt;TODAY()),3,IF($U131="",0,IF($U131&lt;=$H131,1,IF(NETWORKDAYS($H131,$U131)-1&gt;IF($B131="Program",Checks!$B$7,Checks!$B$6),3,2)))))</f>
        <v/>
      </c>
      <c r="Y131" s="28">
        <f>IF(OR($Q131=0,$K131="",$K131=0,$AF131="Sprint"),0,IF(AND($B131="Project",$J131=""),0,IF(IF($B131="Program",$V131,$J131)&gt;$K131*(1+Checks!$B$8),3,IF(IF($B131="Program",$V131,$J131)&gt;$K131,2,IF(AND($B131="Program",OR($W131&gt;0,$V131=0)),0,1)))))</f>
        <v/>
      </c>
      <c r="Z131" s="28">
        <f>IF($A131="",0,IF($C131="Portfolio",1,IF(AND($B131="Project",$C131&lt;&gt;"",$C131&lt;&gt;"Outside the portfolio"),IFERROR(IF(AND(INDEX($B$6:$B$305,MATCH($C131,$A$6:$A$305,0))="Program",INDEX($C$6:$C$305,MATCH($C131,$A$6:$A$305,0))="Portfolio"),1,0),0),0)))</f>
        <v/>
      </c>
      <c r="AA131" s="28">
        <f>IF(AND($A131&lt;&gt;"",$E131="",OR($Q131=1,$D131="Proposed")),1,0)</f>
        <v/>
      </c>
      <c r="AB131" s="28">
        <f>IF(AND($A131&lt;&gt;"",$B131="Program",$F131="",$Q131=1),1,0)</f>
        <v/>
      </c>
      <c r="AC131" s="28">
        <f>IF(OR($A131="",$D131="Completed",$D131="Terminated"),0,IF($C131="",1,IF($C131="Portfolio",0,IF($C131="Outside the portfolio",IF($Q131=1,2,0),IF($B131="Project",IF(IFERROR(INDEX($B$6:$B$305,MATCH($C131,$A$6:$A$305,0)),"")="Program",0,1),1)))))</f>
        <v/>
      </c>
      <c r="AD131" s="28">
        <f>IF(AND($A131&lt;&gt;"",OR($M131="■ Red",$M131="◧ Amber"),$L131=""),1,0)</f>
        <v/>
      </c>
      <c r="AE131" s="28">
        <f>$AA131+$AB131+IF($AC131&gt;0,1,0)+$AD131+$AG131+$AH131</f>
        <v/>
      </c>
      <c r="AF131" s="25" t="n"/>
      <c r="AG131" s="28">
        <f>IF(AND($A131&lt;&gt;"",$K131&lt;&gt;"",$C131&lt;&gt;"Portfolio",$D131&lt;&gt;"Completed",$D131&lt;&gt;"Terminated"),1,0)</f>
        <v/>
      </c>
      <c r="AH131" s="28">
        <f>IF(AND($A131&lt;&gt;"",COUNTIF($A$6:$A$305,$A131)&gt;1),1,0)</f>
        <v/>
      </c>
      <c r="AI131" s="28">
        <f>IF(AND($A131&lt;&gt;"",$C131="Portfolio"),COUNTIFS($C$6:$C131,"Portfolio",$A$6:$A131,"&lt;&gt;"),"")</f>
        <v/>
      </c>
    </row>
    <row r="132">
      <c r="A132" s="25" t="n"/>
      <c r="B132" s="25" t="n"/>
      <c r="C132" s="25" t="n"/>
      <c r="D132" s="25" t="n"/>
      <c r="E132" s="25" t="n"/>
      <c r="F132" s="25" t="n"/>
      <c r="G132" s="25" t="n"/>
      <c r="H132" s="26" t="n"/>
      <c r="I132" s="26" t="n"/>
      <c r="J132" s="27" t="n"/>
      <c r="K132" s="27" t="n"/>
      <c r="L132" s="23" t="n"/>
      <c r="M132" s="28">
        <f>IF($A132="","",IF($D132="","Not read",IF($Q132=0,"Not counted",IF(MAX($X132,$Y132)=3,"■ Red",IF(MAX($X132,$Y132)=2,"◧ Amber",IF(MAX($X132,$Y132)=1,"□ On track","Not read"))))))</f>
        <v/>
      </c>
      <c r="N132" s="28">
        <f>IF(OR($A132="",$B132&lt;&gt;"Program"),"","■ "&amp;COUNTIFS($C$6:$C$305,$A132,$M$6:$M$305,"■ Red")&amp;" Red, ◧ "&amp;COUNTIFS($C$6:$C$305,$A132,$M$6:$M$305,"◧ Amber")&amp;" Amber")</f>
        <v/>
      </c>
      <c r="O132" s="29">
        <f>IF(OR($A132="",$E132=""),"",COUNTIFS($E$6:$E$305,$E132,$D$6:$D$305,"Active")+COUNTIFS($E$6:$E$305,$E132,$D$6:$D$305,"Paused"))</f>
        <v/>
      </c>
      <c r="P132" s="28">
        <f>IF($A132="","",IF($AE132=0,"○ Clear",IF($AA132=1,"△ No owner",IF($AC132=1,"△ Check Sits under",IF($AC132=2,"△ Outside the portfolio",IF($AB132=1,"△ No sponsor",IF($AH132=1,"△ Name used twice",IF($AG132=1,"△ Budget only counts under Portfolio","△ No variance note"))))))&amp;IF($AE132&gt;1," (+"&amp;($AE132-1)&amp;" more)","")))</f>
        <v/>
      </c>
      <c r="Q132" s="28">
        <f>IF(AND($A132&lt;&gt;"",OR($D132="Active",$D132="Paused")),1,0)</f>
        <v/>
      </c>
      <c r="R132" s="28">
        <f>IFERROR(INDEX($A$6:$A$305,MATCH(125,$S$6:$S$305,0)),"")</f>
        <v/>
      </c>
      <c r="S132" s="28">
        <f>IF(AND($A132&lt;&gt;"",$B132="Program"),COUNTIFS($B$6:$B132,"Program",$A$6:$A132,"&lt;&gt;"),"")</f>
        <v/>
      </c>
      <c r="T132" s="30">
        <f>IF(AND($A132&lt;&gt;"",$B132="Program"),SUMPRODUCT(MAX(($C$6:$C$305=$A132)*($B$6:$B$305="Project")*($D$6:$D$305&lt;&gt;"Proposed")*$I$6:$I$305)),0)</f>
        <v/>
      </c>
      <c r="U132" s="30">
        <f>IF($I132&lt;&gt;"",$I132,IF($T132&gt;0,$T132,""))</f>
        <v/>
      </c>
      <c r="V132" s="28">
        <f>IF(AND($A132&lt;&gt;"",$B132="Program"),SUMIFS($J$6:$J$305,$C$6:$C$305,$A132,$B$6:$B$305,"Project",$D$6:$D$305,"&lt;&gt;Proposed"),0)</f>
        <v/>
      </c>
      <c r="W132" s="28">
        <f>IF(AND($A132&lt;&gt;"",$B132="Program"),COUNTIFS($C$6:$C$305,$A132,$B$6:$B$305,"Project",$D$6:$D$305,"&lt;&gt;Proposed")-COUNTIFS($C$6:$C$305,$A132,$B$6:$B$305,"Project",$D$6:$D$305,"&lt;&gt;Proposed",$J$6:$J$305,"&gt;=0"),0)</f>
        <v/>
      </c>
      <c r="X132" s="28">
        <f>IF(OR($Q132=0,$H132="",$AF132="Sprint"),0,IF(AND($B132="Project",$H132&lt;TODAY()),3,IF($U132="",0,IF($U132&lt;=$H132,1,IF(NETWORKDAYS($H132,$U132)-1&gt;IF($B132="Program",Checks!$B$7,Checks!$B$6),3,2)))))</f>
        <v/>
      </c>
      <c r="Y132" s="28">
        <f>IF(OR($Q132=0,$K132="",$K132=0,$AF132="Sprint"),0,IF(AND($B132="Project",$J132=""),0,IF(IF($B132="Program",$V132,$J132)&gt;$K132*(1+Checks!$B$8),3,IF(IF($B132="Program",$V132,$J132)&gt;$K132,2,IF(AND($B132="Program",OR($W132&gt;0,$V132=0)),0,1)))))</f>
        <v/>
      </c>
      <c r="Z132" s="28">
        <f>IF($A132="",0,IF($C132="Portfolio",1,IF(AND($B132="Project",$C132&lt;&gt;"",$C132&lt;&gt;"Outside the portfolio"),IFERROR(IF(AND(INDEX($B$6:$B$305,MATCH($C132,$A$6:$A$305,0))="Program",INDEX($C$6:$C$305,MATCH($C132,$A$6:$A$305,0))="Portfolio"),1,0),0),0)))</f>
        <v/>
      </c>
      <c r="AA132" s="28">
        <f>IF(AND($A132&lt;&gt;"",$E132="",OR($Q132=1,$D132="Proposed")),1,0)</f>
        <v/>
      </c>
      <c r="AB132" s="28">
        <f>IF(AND($A132&lt;&gt;"",$B132="Program",$F132="",$Q132=1),1,0)</f>
        <v/>
      </c>
      <c r="AC132" s="28">
        <f>IF(OR($A132="",$D132="Completed",$D132="Terminated"),0,IF($C132="",1,IF($C132="Portfolio",0,IF($C132="Outside the portfolio",IF($Q132=1,2,0),IF($B132="Project",IF(IFERROR(INDEX($B$6:$B$305,MATCH($C132,$A$6:$A$305,0)),"")="Program",0,1),1)))))</f>
        <v/>
      </c>
      <c r="AD132" s="28">
        <f>IF(AND($A132&lt;&gt;"",OR($M132="■ Red",$M132="◧ Amber"),$L132=""),1,0)</f>
        <v/>
      </c>
      <c r="AE132" s="28">
        <f>$AA132+$AB132+IF($AC132&gt;0,1,0)+$AD132+$AG132+$AH132</f>
        <v/>
      </c>
      <c r="AF132" s="25" t="n"/>
      <c r="AG132" s="28">
        <f>IF(AND($A132&lt;&gt;"",$K132&lt;&gt;"",$C132&lt;&gt;"Portfolio",$D132&lt;&gt;"Completed",$D132&lt;&gt;"Terminated"),1,0)</f>
        <v/>
      </c>
      <c r="AH132" s="28">
        <f>IF(AND($A132&lt;&gt;"",COUNTIF($A$6:$A$305,$A132)&gt;1),1,0)</f>
        <v/>
      </c>
      <c r="AI132" s="28">
        <f>IF(AND($A132&lt;&gt;"",$C132="Portfolio"),COUNTIFS($C$6:$C132,"Portfolio",$A$6:$A132,"&lt;&gt;"),"")</f>
        <v/>
      </c>
    </row>
    <row r="133">
      <c r="A133" s="25" t="n"/>
      <c r="B133" s="25" t="n"/>
      <c r="C133" s="25" t="n"/>
      <c r="D133" s="25" t="n"/>
      <c r="E133" s="25" t="n"/>
      <c r="F133" s="25" t="n"/>
      <c r="G133" s="25" t="n"/>
      <c r="H133" s="26" t="n"/>
      <c r="I133" s="26" t="n"/>
      <c r="J133" s="27" t="n"/>
      <c r="K133" s="27" t="n"/>
      <c r="L133" s="23" t="n"/>
      <c r="M133" s="28">
        <f>IF($A133="","",IF($D133="","Not read",IF($Q133=0,"Not counted",IF(MAX($X133,$Y133)=3,"■ Red",IF(MAX($X133,$Y133)=2,"◧ Amber",IF(MAX($X133,$Y133)=1,"□ On track","Not read"))))))</f>
        <v/>
      </c>
      <c r="N133" s="28">
        <f>IF(OR($A133="",$B133&lt;&gt;"Program"),"","■ "&amp;COUNTIFS($C$6:$C$305,$A133,$M$6:$M$305,"■ Red")&amp;" Red, ◧ "&amp;COUNTIFS($C$6:$C$305,$A133,$M$6:$M$305,"◧ Amber")&amp;" Amber")</f>
        <v/>
      </c>
      <c r="O133" s="29">
        <f>IF(OR($A133="",$E133=""),"",COUNTIFS($E$6:$E$305,$E133,$D$6:$D$305,"Active")+COUNTIFS($E$6:$E$305,$E133,$D$6:$D$305,"Paused"))</f>
        <v/>
      </c>
      <c r="P133" s="28">
        <f>IF($A133="","",IF($AE133=0,"○ Clear",IF($AA133=1,"△ No owner",IF($AC133=1,"△ Check Sits under",IF($AC133=2,"△ Outside the portfolio",IF($AB133=1,"△ No sponsor",IF($AH133=1,"△ Name used twice",IF($AG133=1,"△ Budget only counts under Portfolio","△ No variance note"))))))&amp;IF($AE133&gt;1," (+"&amp;($AE133-1)&amp;" more)","")))</f>
        <v/>
      </c>
      <c r="Q133" s="28">
        <f>IF(AND($A133&lt;&gt;"",OR($D133="Active",$D133="Paused")),1,0)</f>
        <v/>
      </c>
      <c r="R133" s="28">
        <f>IFERROR(INDEX($A$6:$A$305,MATCH(126,$S$6:$S$305,0)),"")</f>
        <v/>
      </c>
      <c r="S133" s="28">
        <f>IF(AND($A133&lt;&gt;"",$B133="Program"),COUNTIFS($B$6:$B133,"Program",$A$6:$A133,"&lt;&gt;"),"")</f>
        <v/>
      </c>
      <c r="T133" s="30">
        <f>IF(AND($A133&lt;&gt;"",$B133="Program"),SUMPRODUCT(MAX(($C$6:$C$305=$A133)*($B$6:$B$305="Project")*($D$6:$D$305&lt;&gt;"Proposed")*$I$6:$I$305)),0)</f>
        <v/>
      </c>
      <c r="U133" s="30">
        <f>IF($I133&lt;&gt;"",$I133,IF($T133&gt;0,$T133,""))</f>
        <v/>
      </c>
      <c r="V133" s="28">
        <f>IF(AND($A133&lt;&gt;"",$B133="Program"),SUMIFS($J$6:$J$305,$C$6:$C$305,$A133,$B$6:$B$305,"Project",$D$6:$D$305,"&lt;&gt;Proposed"),0)</f>
        <v/>
      </c>
      <c r="W133" s="28">
        <f>IF(AND($A133&lt;&gt;"",$B133="Program"),COUNTIFS($C$6:$C$305,$A133,$B$6:$B$305,"Project",$D$6:$D$305,"&lt;&gt;Proposed")-COUNTIFS($C$6:$C$305,$A133,$B$6:$B$305,"Project",$D$6:$D$305,"&lt;&gt;Proposed",$J$6:$J$305,"&gt;=0"),0)</f>
        <v/>
      </c>
      <c r="X133" s="28">
        <f>IF(OR($Q133=0,$H133="",$AF133="Sprint"),0,IF(AND($B133="Project",$H133&lt;TODAY()),3,IF($U133="",0,IF($U133&lt;=$H133,1,IF(NETWORKDAYS($H133,$U133)-1&gt;IF($B133="Program",Checks!$B$7,Checks!$B$6),3,2)))))</f>
        <v/>
      </c>
      <c r="Y133" s="28">
        <f>IF(OR($Q133=0,$K133="",$K133=0,$AF133="Sprint"),0,IF(AND($B133="Project",$J133=""),0,IF(IF($B133="Program",$V133,$J133)&gt;$K133*(1+Checks!$B$8),3,IF(IF($B133="Program",$V133,$J133)&gt;$K133,2,IF(AND($B133="Program",OR($W133&gt;0,$V133=0)),0,1)))))</f>
        <v/>
      </c>
      <c r="Z133" s="28">
        <f>IF($A133="",0,IF($C133="Portfolio",1,IF(AND($B133="Project",$C133&lt;&gt;"",$C133&lt;&gt;"Outside the portfolio"),IFERROR(IF(AND(INDEX($B$6:$B$305,MATCH($C133,$A$6:$A$305,0))="Program",INDEX($C$6:$C$305,MATCH($C133,$A$6:$A$305,0))="Portfolio"),1,0),0),0)))</f>
        <v/>
      </c>
      <c r="AA133" s="28">
        <f>IF(AND($A133&lt;&gt;"",$E133="",OR($Q133=1,$D133="Proposed")),1,0)</f>
        <v/>
      </c>
      <c r="AB133" s="28">
        <f>IF(AND($A133&lt;&gt;"",$B133="Program",$F133="",$Q133=1),1,0)</f>
        <v/>
      </c>
      <c r="AC133" s="28">
        <f>IF(OR($A133="",$D133="Completed",$D133="Terminated"),0,IF($C133="",1,IF($C133="Portfolio",0,IF($C133="Outside the portfolio",IF($Q133=1,2,0),IF($B133="Project",IF(IFERROR(INDEX($B$6:$B$305,MATCH($C133,$A$6:$A$305,0)),"")="Program",0,1),1)))))</f>
        <v/>
      </c>
      <c r="AD133" s="28">
        <f>IF(AND($A133&lt;&gt;"",OR($M133="■ Red",$M133="◧ Amber"),$L133=""),1,0)</f>
        <v/>
      </c>
      <c r="AE133" s="28">
        <f>$AA133+$AB133+IF($AC133&gt;0,1,0)+$AD133+$AG133+$AH133</f>
        <v/>
      </c>
      <c r="AF133" s="25" t="n"/>
      <c r="AG133" s="28">
        <f>IF(AND($A133&lt;&gt;"",$K133&lt;&gt;"",$C133&lt;&gt;"Portfolio",$D133&lt;&gt;"Completed",$D133&lt;&gt;"Terminated"),1,0)</f>
        <v/>
      </c>
      <c r="AH133" s="28">
        <f>IF(AND($A133&lt;&gt;"",COUNTIF($A$6:$A$305,$A133)&gt;1),1,0)</f>
        <v/>
      </c>
      <c r="AI133" s="28">
        <f>IF(AND($A133&lt;&gt;"",$C133="Portfolio"),COUNTIFS($C$6:$C133,"Portfolio",$A$6:$A133,"&lt;&gt;"),"")</f>
        <v/>
      </c>
    </row>
    <row r="134">
      <c r="A134" s="25" t="n"/>
      <c r="B134" s="25" t="n"/>
      <c r="C134" s="25" t="n"/>
      <c r="D134" s="25" t="n"/>
      <c r="E134" s="25" t="n"/>
      <c r="F134" s="25" t="n"/>
      <c r="G134" s="25" t="n"/>
      <c r="H134" s="26" t="n"/>
      <c r="I134" s="26" t="n"/>
      <c r="J134" s="27" t="n"/>
      <c r="K134" s="27" t="n"/>
      <c r="L134" s="23" t="n"/>
      <c r="M134" s="28">
        <f>IF($A134="","",IF($D134="","Not read",IF($Q134=0,"Not counted",IF(MAX($X134,$Y134)=3,"■ Red",IF(MAX($X134,$Y134)=2,"◧ Amber",IF(MAX($X134,$Y134)=1,"□ On track","Not read"))))))</f>
        <v/>
      </c>
      <c r="N134" s="28">
        <f>IF(OR($A134="",$B134&lt;&gt;"Program"),"","■ "&amp;COUNTIFS($C$6:$C$305,$A134,$M$6:$M$305,"■ Red")&amp;" Red, ◧ "&amp;COUNTIFS($C$6:$C$305,$A134,$M$6:$M$305,"◧ Amber")&amp;" Amber")</f>
        <v/>
      </c>
      <c r="O134" s="29">
        <f>IF(OR($A134="",$E134=""),"",COUNTIFS($E$6:$E$305,$E134,$D$6:$D$305,"Active")+COUNTIFS($E$6:$E$305,$E134,$D$6:$D$305,"Paused"))</f>
        <v/>
      </c>
      <c r="P134" s="28">
        <f>IF($A134="","",IF($AE134=0,"○ Clear",IF($AA134=1,"△ No owner",IF($AC134=1,"△ Check Sits under",IF($AC134=2,"△ Outside the portfolio",IF($AB134=1,"△ No sponsor",IF($AH134=1,"△ Name used twice",IF($AG134=1,"△ Budget only counts under Portfolio","△ No variance note"))))))&amp;IF($AE134&gt;1," (+"&amp;($AE134-1)&amp;" more)","")))</f>
        <v/>
      </c>
      <c r="Q134" s="28">
        <f>IF(AND($A134&lt;&gt;"",OR($D134="Active",$D134="Paused")),1,0)</f>
        <v/>
      </c>
      <c r="R134" s="28">
        <f>IFERROR(INDEX($A$6:$A$305,MATCH(127,$S$6:$S$305,0)),"")</f>
        <v/>
      </c>
      <c r="S134" s="28">
        <f>IF(AND($A134&lt;&gt;"",$B134="Program"),COUNTIFS($B$6:$B134,"Program",$A$6:$A134,"&lt;&gt;"),"")</f>
        <v/>
      </c>
      <c r="T134" s="30">
        <f>IF(AND($A134&lt;&gt;"",$B134="Program"),SUMPRODUCT(MAX(($C$6:$C$305=$A134)*($B$6:$B$305="Project")*($D$6:$D$305&lt;&gt;"Proposed")*$I$6:$I$305)),0)</f>
        <v/>
      </c>
      <c r="U134" s="30">
        <f>IF($I134&lt;&gt;"",$I134,IF($T134&gt;0,$T134,""))</f>
        <v/>
      </c>
      <c r="V134" s="28">
        <f>IF(AND($A134&lt;&gt;"",$B134="Program"),SUMIFS($J$6:$J$305,$C$6:$C$305,$A134,$B$6:$B$305,"Project",$D$6:$D$305,"&lt;&gt;Proposed"),0)</f>
        <v/>
      </c>
      <c r="W134" s="28">
        <f>IF(AND($A134&lt;&gt;"",$B134="Program"),COUNTIFS($C$6:$C$305,$A134,$B$6:$B$305,"Project",$D$6:$D$305,"&lt;&gt;Proposed")-COUNTIFS($C$6:$C$305,$A134,$B$6:$B$305,"Project",$D$6:$D$305,"&lt;&gt;Proposed",$J$6:$J$305,"&gt;=0"),0)</f>
        <v/>
      </c>
      <c r="X134" s="28">
        <f>IF(OR($Q134=0,$H134="",$AF134="Sprint"),0,IF(AND($B134="Project",$H134&lt;TODAY()),3,IF($U134="",0,IF($U134&lt;=$H134,1,IF(NETWORKDAYS($H134,$U134)-1&gt;IF($B134="Program",Checks!$B$7,Checks!$B$6),3,2)))))</f>
        <v/>
      </c>
      <c r="Y134" s="28">
        <f>IF(OR($Q134=0,$K134="",$K134=0,$AF134="Sprint"),0,IF(AND($B134="Project",$J134=""),0,IF(IF($B134="Program",$V134,$J134)&gt;$K134*(1+Checks!$B$8),3,IF(IF($B134="Program",$V134,$J134)&gt;$K134,2,IF(AND($B134="Program",OR($W134&gt;0,$V134=0)),0,1)))))</f>
        <v/>
      </c>
      <c r="Z134" s="28">
        <f>IF($A134="",0,IF($C134="Portfolio",1,IF(AND($B134="Project",$C134&lt;&gt;"",$C134&lt;&gt;"Outside the portfolio"),IFERROR(IF(AND(INDEX($B$6:$B$305,MATCH($C134,$A$6:$A$305,0))="Program",INDEX($C$6:$C$305,MATCH($C134,$A$6:$A$305,0))="Portfolio"),1,0),0),0)))</f>
        <v/>
      </c>
      <c r="AA134" s="28">
        <f>IF(AND($A134&lt;&gt;"",$E134="",OR($Q134=1,$D134="Proposed")),1,0)</f>
        <v/>
      </c>
      <c r="AB134" s="28">
        <f>IF(AND($A134&lt;&gt;"",$B134="Program",$F134="",$Q134=1),1,0)</f>
        <v/>
      </c>
      <c r="AC134" s="28">
        <f>IF(OR($A134="",$D134="Completed",$D134="Terminated"),0,IF($C134="",1,IF($C134="Portfolio",0,IF($C134="Outside the portfolio",IF($Q134=1,2,0),IF($B134="Project",IF(IFERROR(INDEX($B$6:$B$305,MATCH($C134,$A$6:$A$305,0)),"")="Program",0,1),1)))))</f>
        <v/>
      </c>
      <c r="AD134" s="28">
        <f>IF(AND($A134&lt;&gt;"",OR($M134="■ Red",$M134="◧ Amber"),$L134=""),1,0)</f>
        <v/>
      </c>
      <c r="AE134" s="28">
        <f>$AA134+$AB134+IF($AC134&gt;0,1,0)+$AD134+$AG134+$AH134</f>
        <v/>
      </c>
      <c r="AF134" s="25" t="n"/>
      <c r="AG134" s="28">
        <f>IF(AND($A134&lt;&gt;"",$K134&lt;&gt;"",$C134&lt;&gt;"Portfolio",$D134&lt;&gt;"Completed",$D134&lt;&gt;"Terminated"),1,0)</f>
        <v/>
      </c>
      <c r="AH134" s="28">
        <f>IF(AND($A134&lt;&gt;"",COUNTIF($A$6:$A$305,$A134)&gt;1),1,0)</f>
        <v/>
      </c>
      <c r="AI134" s="28">
        <f>IF(AND($A134&lt;&gt;"",$C134="Portfolio"),COUNTIFS($C$6:$C134,"Portfolio",$A$6:$A134,"&lt;&gt;"),"")</f>
        <v/>
      </c>
    </row>
    <row r="135">
      <c r="A135" s="25" t="n"/>
      <c r="B135" s="25" t="n"/>
      <c r="C135" s="25" t="n"/>
      <c r="D135" s="25" t="n"/>
      <c r="E135" s="25" t="n"/>
      <c r="F135" s="25" t="n"/>
      <c r="G135" s="25" t="n"/>
      <c r="H135" s="26" t="n"/>
      <c r="I135" s="26" t="n"/>
      <c r="J135" s="27" t="n"/>
      <c r="K135" s="27" t="n"/>
      <c r="L135" s="23" t="n"/>
      <c r="M135" s="28">
        <f>IF($A135="","",IF($D135="","Not read",IF($Q135=0,"Not counted",IF(MAX($X135,$Y135)=3,"■ Red",IF(MAX($X135,$Y135)=2,"◧ Amber",IF(MAX($X135,$Y135)=1,"□ On track","Not read"))))))</f>
        <v/>
      </c>
      <c r="N135" s="28">
        <f>IF(OR($A135="",$B135&lt;&gt;"Program"),"","■ "&amp;COUNTIFS($C$6:$C$305,$A135,$M$6:$M$305,"■ Red")&amp;" Red, ◧ "&amp;COUNTIFS($C$6:$C$305,$A135,$M$6:$M$305,"◧ Amber")&amp;" Amber")</f>
        <v/>
      </c>
      <c r="O135" s="29">
        <f>IF(OR($A135="",$E135=""),"",COUNTIFS($E$6:$E$305,$E135,$D$6:$D$305,"Active")+COUNTIFS($E$6:$E$305,$E135,$D$6:$D$305,"Paused"))</f>
        <v/>
      </c>
      <c r="P135" s="28">
        <f>IF($A135="","",IF($AE135=0,"○ Clear",IF($AA135=1,"△ No owner",IF($AC135=1,"△ Check Sits under",IF($AC135=2,"△ Outside the portfolio",IF($AB135=1,"△ No sponsor",IF($AH135=1,"△ Name used twice",IF($AG135=1,"△ Budget only counts under Portfolio","△ No variance note"))))))&amp;IF($AE135&gt;1," (+"&amp;($AE135-1)&amp;" more)","")))</f>
        <v/>
      </c>
      <c r="Q135" s="28">
        <f>IF(AND($A135&lt;&gt;"",OR($D135="Active",$D135="Paused")),1,0)</f>
        <v/>
      </c>
      <c r="R135" s="28">
        <f>IFERROR(INDEX($A$6:$A$305,MATCH(128,$S$6:$S$305,0)),"")</f>
        <v/>
      </c>
      <c r="S135" s="28">
        <f>IF(AND($A135&lt;&gt;"",$B135="Program"),COUNTIFS($B$6:$B135,"Program",$A$6:$A135,"&lt;&gt;"),"")</f>
        <v/>
      </c>
      <c r="T135" s="30">
        <f>IF(AND($A135&lt;&gt;"",$B135="Program"),SUMPRODUCT(MAX(($C$6:$C$305=$A135)*($B$6:$B$305="Project")*($D$6:$D$305&lt;&gt;"Proposed")*$I$6:$I$305)),0)</f>
        <v/>
      </c>
      <c r="U135" s="30">
        <f>IF($I135&lt;&gt;"",$I135,IF($T135&gt;0,$T135,""))</f>
        <v/>
      </c>
      <c r="V135" s="28">
        <f>IF(AND($A135&lt;&gt;"",$B135="Program"),SUMIFS($J$6:$J$305,$C$6:$C$305,$A135,$B$6:$B$305,"Project",$D$6:$D$305,"&lt;&gt;Proposed"),0)</f>
        <v/>
      </c>
      <c r="W135" s="28">
        <f>IF(AND($A135&lt;&gt;"",$B135="Program"),COUNTIFS($C$6:$C$305,$A135,$B$6:$B$305,"Project",$D$6:$D$305,"&lt;&gt;Proposed")-COUNTIFS($C$6:$C$305,$A135,$B$6:$B$305,"Project",$D$6:$D$305,"&lt;&gt;Proposed",$J$6:$J$305,"&gt;=0"),0)</f>
        <v/>
      </c>
      <c r="X135" s="28">
        <f>IF(OR($Q135=0,$H135="",$AF135="Sprint"),0,IF(AND($B135="Project",$H135&lt;TODAY()),3,IF($U135="",0,IF($U135&lt;=$H135,1,IF(NETWORKDAYS($H135,$U135)-1&gt;IF($B135="Program",Checks!$B$7,Checks!$B$6),3,2)))))</f>
        <v/>
      </c>
      <c r="Y135" s="28">
        <f>IF(OR($Q135=0,$K135="",$K135=0,$AF135="Sprint"),0,IF(AND($B135="Project",$J135=""),0,IF(IF($B135="Program",$V135,$J135)&gt;$K135*(1+Checks!$B$8),3,IF(IF($B135="Program",$V135,$J135)&gt;$K135,2,IF(AND($B135="Program",OR($W135&gt;0,$V135=0)),0,1)))))</f>
        <v/>
      </c>
      <c r="Z135" s="28">
        <f>IF($A135="",0,IF($C135="Portfolio",1,IF(AND($B135="Project",$C135&lt;&gt;"",$C135&lt;&gt;"Outside the portfolio"),IFERROR(IF(AND(INDEX($B$6:$B$305,MATCH($C135,$A$6:$A$305,0))="Program",INDEX($C$6:$C$305,MATCH($C135,$A$6:$A$305,0))="Portfolio"),1,0),0),0)))</f>
        <v/>
      </c>
      <c r="AA135" s="28">
        <f>IF(AND($A135&lt;&gt;"",$E135="",OR($Q135=1,$D135="Proposed")),1,0)</f>
        <v/>
      </c>
      <c r="AB135" s="28">
        <f>IF(AND($A135&lt;&gt;"",$B135="Program",$F135="",$Q135=1),1,0)</f>
        <v/>
      </c>
      <c r="AC135" s="28">
        <f>IF(OR($A135="",$D135="Completed",$D135="Terminated"),0,IF($C135="",1,IF($C135="Portfolio",0,IF($C135="Outside the portfolio",IF($Q135=1,2,0),IF($B135="Project",IF(IFERROR(INDEX($B$6:$B$305,MATCH($C135,$A$6:$A$305,0)),"")="Program",0,1),1)))))</f>
        <v/>
      </c>
      <c r="AD135" s="28">
        <f>IF(AND($A135&lt;&gt;"",OR($M135="■ Red",$M135="◧ Amber"),$L135=""),1,0)</f>
        <v/>
      </c>
      <c r="AE135" s="28">
        <f>$AA135+$AB135+IF($AC135&gt;0,1,0)+$AD135+$AG135+$AH135</f>
        <v/>
      </c>
      <c r="AF135" s="25" t="n"/>
      <c r="AG135" s="28">
        <f>IF(AND($A135&lt;&gt;"",$K135&lt;&gt;"",$C135&lt;&gt;"Portfolio",$D135&lt;&gt;"Completed",$D135&lt;&gt;"Terminated"),1,0)</f>
        <v/>
      </c>
      <c r="AH135" s="28">
        <f>IF(AND($A135&lt;&gt;"",COUNTIF($A$6:$A$305,$A135)&gt;1),1,0)</f>
        <v/>
      </c>
      <c r="AI135" s="28">
        <f>IF(AND($A135&lt;&gt;"",$C135="Portfolio"),COUNTIFS($C$6:$C135,"Portfolio",$A$6:$A135,"&lt;&gt;"),"")</f>
        <v/>
      </c>
    </row>
    <row r="136">
      <c r="A136" s="25" t="n"/>
      <c r="B136" s="25" t="n"/>
      <c r="C136" s="25" t="n"/>
      <c r="D136" s="25" t="n"/>
      <c r="E136" s="25" t="n"/>
      <c r="F136" s="25" t="n"/>
      <c r="G136" s="25" t="n"/>
      <c r="H136" s="26" t="n"/>
      <c r="I136" s="26" t="n"/>
      <c r="J136" s="27" t="n"/>
      <c r="K136" s="27" t="n"/>
      <c r="L136" s="23" t="n"/>
      <c r="M136" s="28">
        <f>IF($A136="","",IF($D136="","Not read",IF($Q136=0,"Not counted",IF(MAX($X136,$Y136)=3,"■ Red",IF(MAX($X136,$Y136)=2,"◧ Amber",IF(MAX($X136,$Y136)=1,"□ On track","Not read"))))))</f>
        <v/>
      </c>
      <c r="N136" s="28">
        <f>IF(OR($A136="",$B136&lt;&gt;"Program"),"","■ "&amp;COUNTIFS($C$6:$C$305,$A136,$M$6:$M$305,"■ Red")&amp;" Red, ◧ "&amp;COUNTIFS($C$6:$C$305,$A136,$M$6:$M$305,"◧ Amber")&amp;" Amber")</f>
        <v/>
      </c>
      <c r="O136" s="29">
        <f>IF(OR($A136="",$E136=""),"",COUNTIFS($E$6:$E$305,$E136,$D$6:$D$305,"Active")+COUNTIFS($E$6:$E$305,$E136,$D$6:$D$305,"Paused"))</f>
        <v/>
      </c>
      <c r="P136" s="28">
        <f>IF($A136="","",IF($AE136=0,"○ Clear",IF($AA136=1,"△ No owner",IF($AC136=1,"△ Check Sits under",IF($AC136=2,"△ Outside the portfolio",IF($AB136=1,"△ No sponsor",IF($AH136=1,"△ Name used twice",IF($AG136=1,"△ Budget only counts under Portfolio","△ No variance note"))))))&amp;IF($AE136&gt;1," (+"&amp;($AE136-1)&amp;" more)","")))</f>
        <v/>
      </c>
      <c r="Q136" s="28">
        <f>IF(AND($A136&lt;&gt;"",OR($D136="Active",$D136="Paused")),1,0)</f>
        <v/>
      </c>
      <c r="R136" s="28">
        <f>IFERROR(INDEX($A$6:$A$305,MATCH(129,$S$6:$S$305,0)),"")</f>
        <v/>
      </c>
      <c r="S136" s="28">
        <f>IF(AND($A136&lt;&gt;"",$B136="Program"),COUNTIFS($B$6:$B136,"Program",$A$6:$A136,"&lt;&gt;"),"")</f>
        <v/>
      </c>
      <c r="T136" s="30">
        <f>IF(AND($A136&lt;&gt;"",$B136="Program"),SUMPRODUCT(MAX(($C$6:$C$305=$A136)*($B$6:$B$305="Project")*($D$6:$D$305&lt;&gt;"Proposed")*$I$6:$I$305)),0)</f>
        <v/>
      </c>
      <c r="U136" s="30">
        <f>IF($I136&lt;&gt;"",$I136,IF($T136&gt;0,$T136,""))</f>
        <v/>
      </c>
      <c r="V136" s="28">
        <f>IF(AND($A136&lt;&gt;"",$B136="Program"),SUMIFS($J$6:$J$305,$C$6:$C$305,$A136,$B$6:$B$305,"Project",$D$6:$D$305,"&lt;&gt;Proposed"),0)</f>
        <v/>
      </c>
      <c r="W136" s="28">
        <f>IF(AND($A136&lt;&gt;"",$B136="Program"),COUNTIFS($C$6:$C$305,$A136,$B$6:$B$305,"Project",$D$6:$D$305,"&lt;&gt;Proposed")-COUNTIFS($C$6:$C$305,$A136,$B$6:$B$305,"Project",$D$6:$D$305,"&lt;&gt;Proposed",$J$6:$J$305,"&gt;=0"),0)</f>
        <v/>
      </c>
      <c r="X136" s="28">
        <f>IF(OR($Q136=0,$H136="",$AF136="Sprint"),0,IF(AND($B136="Project",$H136&lt;TODAY()),3,IF($U136="",0,IF($U136&lt;=$H136,1,IF(NETWORKDAYS($H136,$U136)-1&gt;IF($B136="Program",Checks!$B$7,Checks!$B$6),3,2)))))</f>
        <v/>
      </c>
      <c r="Y136" s="28">
        <f>IF(OR($Q136=0,$K136="",$K136=0,$AF136="Sprint"),0,IF(AND($B136="Project",$J136=""),0,IF(IF($B136="Program",$V136,$J136)&gt;$K136*(1+Checks!$B$8),3,IF(IF($B136="Program",$V136,$J136)&gt;$K136,2,IF(AND($B136="Program",OR($W136&gt;0,$V136=0)),0,1)))))</f>
        <v/>
      </c>
      <c r="Z136" s="28">
        <f>IF($A136="",0,IF($C136="Portfolio",1,IF(AND($B136="Project",$C136&lt;&gt;"",$C136&lt;&gt;"Outside the portfolio"),IFERROR(IF(AND(INDEX($B$6:$B$305,MATCH($C136,$A$6:$A$305,0))="Program",INDEX($C$6:$C$305,MATCH($C136,$A$6:$A$305,0))="Portfolio"),1,0),0),0)))</f>
        <v/>
      </c>
      <c r="AA136" s="28">
        <f>IF(AND($A136&lt;&gt;"",$E136="",OR($Q136=1,$D136="Proposed")),1,0)</f>
        <v/>
      </c>
      <c r="AB136" s="28">
        <f>IF(AND($A136&lt;&gt;"",$B136="Program",$F136="",$Q136=1),1,0)</f>
        <v/>
      </c>
      <c r="AC136" s="28">
        <f>IF(OR($A136="",$D136="Completed",$D136="Terminated"),0,IF($C136="",1,IF($C136="Portfolio",0,IF($C136="Outside the portfolio",IF($Q136=1,2,0),IF($B136="Project",IF(IFERROR(INDEX($B$6:$B$305,MATCH($C136,$A$6:$A$305,0)),"")="Program",0,1),1)))))</f>
        <v/>
      </c>
      <c r="AD136" s="28">
        <f>IF(AND($A136&lt;&gt;"",OR($M136="■ Red",$M136="◧ Amber"),$L136=""),1,0)</f>
        <v/>
      </c>
      <c r="AE136" s="28">
        <f>$AA136+$AB136+IF($AC136&gt;0,1,0)+$AD136+$AG136+$AH136</f>
        <v/>
      </c>
      <c r="AF136" s="25" t="n"/>
      <c r="AG136" s="28">
        <f>IF(AND($A136&lt;&gt;"",$K136&lt;&gt;"",$C136&lt;&gt;"Portfolio",$D136&lt;&gt;"Completed",$D136&lt;&gt;"Terminated"),1,0)</f>
        <v/>
      </c>
      <c r="AH136" s="28">
        <f>IF(AND($A136&lt;&gt;"",COUNTIF($A$6:$A$305,$A136)&gt;1),1,0)</f>
        <v/>
      </c>
      <c r="AI136" s="28">
        <f>IF(AND($A136&lt;&gt;"",$C136="Portfolio"),COUNTIFS($C$6:$C136,"Portfolio",$A$6:$A136,"&lt;&gt;"),"")</f>
        <v/>
      </c>
    </row>
    <row r="137">
      <c r="A137" s="25" t="n"/>
      <c r="B137" s="25" t="n"/>
      <c r="C137" s="25" t="n"/>
      <c r="D137" s="25" t="n"/>
      <c r="E137" s="25" t="n"/>
      <c r="F137" s="25" t="n"/>
      <c r="G137" s="25" t="n"/>
      <c r="H137" s="26" t="n"/>
      <c r="I137" s="26" t="n"/>
      <c r="J137" s="27" t="n"/>
      <c r="K137" s="27" t="n"/>
      <c r="L137" s="23" t="n"/>
      <c r="M137" s="28">
        <f>IF($A137="","",IF($D137="","Not read",IF($Q137=0,"Not counted",IF(MAX($X137,$Y137)=3,"■ Red",IF(MAX($X137,$Y137)=2,"◧ Amber",IF(MAX($X137,$Y137)=1,"□ On track","Not read"))))))</f>
        <v/>
      </c>
      <c r="N137" s="28">
        <f>IF(OR($A137="",$B137&lt;&gt;"Program"),"","■ "&amp;COUNTIFS($C$6:$C$305,$A137,$M$6:$M$305,"■ Red")&amp;" Red, ◧ "&amp;COUNTIFS($C$6:$C$305,$A137,$M$6:$M$305,"◧ Amber")&amp;" Amber")</f>
        <v/>
      </c>
      <c r="O137" s="29">
        <f>IF(OR($A137="",$E137=""),"",COUNTIFS($E$6:$E$305,$E137,$D$6:$D$305,"Active")+COUNTIFS($E$6:$E$305,$E137,$D$6:$D$305,"Paused"))</f>
        <v/>
      </c>
      <c r="P137" s="28">
        <f>IF($A137="","",IF($AE137=0,"○ Clear",IF($AA137=1,"△ No owner",IF($AC137=1,"△ Check Sits under",IF($AC137=2,"△ Outside the portfolio",IF($AB137=1,"△ No sponsor",IF($AH137=1,"△ Name used twice",IF($AG137=1,"△ Budget only counts under Portfolio","△ No variance note"))))))&amp;IF($AE137&gt;1," (+"&amp;($AE137-1)&amp;" more)","")))</f>
        <v/>
      </c>
      <c r="Q137" s="28">
        <f>IF(AND($A137&lt;&gt;"",OR($D137="Active",$D137="Paused")),1,0)</f>
        <v/>
      </c>
      <c r="R137" s="28">
        <f>IFERROR(INDEX($A$6:$A$305,MATCH(130,$S$6:$S$305,0)),"")</f>
        <v/>
      </c>
      <c r="S137" s="28">
        <f>IF(AND($A137&lt;&gt;"",$B137="Program"),COUNTIFS($B$6:$B137,"Program",$A$6:$A137,"&lt;&gt;"),"")</f>
        <v/>
      </c>
      <c r="T137" s="30">
        <f>IF(AND($A137&lt;&gt;"",$B137="Program"),SUMPRODUCT(MAX(($C$6:$C$305=$A137)*($B$6:$B$305="Project")*($D$6:$D$305&lt;&gt;"Proposed")*$I$6:$I$305)),0)</f>
        <v/>
      </c>
      <c r="U137" s="30">
        <f>IF($I137&lt;&gt;"",$I137,IF($T137&gt;0,$T137,""))</f>
        <v/>
      </c>
      <c r="V137" s="28">
        <f>IF(AND($A137&lt;&gt;"",$B137="Program"),SUMIFS($J$6:$J$305,$C$6:$C$305,$A137,$B$6:$B$305,"Project",$D$6:$D$305,"&lt;&gt;Proposed"),0)</f>
        <v/>
      </c>
      <c r="W137" s="28">
        <f>IF(AND($A137&lt;&gt;"",$B137="Program"),COUNTIFS($C$6:$C$305,$A137,$B$6:$B$305,"Project",$D$6:$D$305,"&lt;&gt;Proposed")-COUNTIFS($C$6:$C$305,$A137,$B$6:$B$305,"Project",$D$6:$D$305,"&lt;&gt;Proposed",$J$6:$J$305,"&gt;=0"),0)</f>
        <v/>
      </c>
      <c r="X137" s="28">
        <f>IF(OR($Q137=0,$H137="",$AF137="Sprint"),0,IF(AND($B137="Project",$H137&lt;TODAY()),3,IF($U137="",0,IF($U137&lt;=$H137,1,IF(NETWORKDAYS($H137,$U137)-1&gt;IF($B137="Program",Checks!$B$7,Checks!$B$6),3,2)))))</f>
        <v/>
      </c>
      <c r="Y137" s="28">
        <f>IF(OR($Q137=0,$K137="",$K137=0,$AF137="Sprint"),0,IF(AND($B137="Project",$J137=""),0,IF(IF($B137="Program",$V137,$J137)&gt;$K137*(1+Checks!$B$8),3,IF(IF($B137="Program",$V137,$J137)&gt;$K137,2,IF(AND($B137="Program",OR($W137&gt;0,$V137=0)),0,1)))))</f>
        <v/>
      </c>
      <c r="Z137" s="28">
        <f>IF($A137="",0,IF($C137="Portfolio",1,IF(AND($B137="Project",$C137&lt;&gt;"",$C137&lt;&gt;"Outside the portfolio"),IFERROR(IF(AND(INDEX($B$6:$B$305,MATCH($C137,$A$6:$A$305,0))="Program",INDEX($C$6:$C$305,MATCH($C137,$A$6:$A$305,0))="Portfolio"),1,0),0),0)))</f>
        <v/>
      </c>
      <c r="AA137" s="28">
        <f>IF(AND($A137&lt;&gt;"",$E137="",OR($Q137=1,$D137="Proposed")),1,0)</f>
        <v/>
      </c>
      <c r="AB137" s="28">
        <f>IF(AND($A137&lt;&gt;"",$B137="Program",$F137="",$Q137=1),1,0)</f>
        <v/>
      </c>
      <c r="AC137" s="28">
        <f>IF(OR($A137="",$D137="Completed",$D137="Terminated"),0,IF($C137="",1,IF($C137="Portfolio",0,IF($C137="Outside the portfolio",IF($Q137=1,2,0),IF($B137="Project",IF(IFERROR(INDEX($B$6:$B$305,MATCH($C137,$A$6:$A$305,0)),"")="Program",0,1),1)))))</f>
        <v/>
      </c>
      <c r="AD137" s="28">
        <f>IF(AND($A137&lt;&gt;"",OR($M137="■ Red",$M137="◧ Amber"),$L137=""),1,0)</f>
        <v/>
      </c>
      <c r="AE137" s="28">
        <f>$AA137+$AB137+IF($AC137&gt;0,1,0)+$AD137+$AG137+$AH137</f>
        <v/>
      </c>
      <c r="AF137" s="25" t="n"/>
      <c r="AG137" s="28">
        <f>IF(AND($A137&lt;&gt;"",$K137&lt;&gt;"",$C137&lt;&gt;"Portfolio",$D137&lt;&gt;"Completed",$D137&lt;&gt;"Terminated"),1,0)</f>
        <v/>
      </c>
      <c r="AH137" s="28">
        <f>IF(AND($A137&lt;&gt;"",COUNTIF($A$6:$A$305,$A137)&gt;1),1,0)</f>
        <v/>
      </c>
      <c r="AI137" s="28">
        <f>IF(AND($A137&lt;&gt;"",$C137="Portfolio"),COUNTIFS($C$6:$C137,"Portfolio",$A$6:$A137,"&lt;&gt;"),"")</f>
        <v/>
      </c>
    </row>
    <row r="138">
      <c r="A138" s="25" t="n"/>
      <c r="B138" s="25" t="n"/>
      <c r="C138" s="25" t="n"/>
      <c r="D138" s="25" t="n"/>
      <c r="E138" s="25" t="n"/>
      <c r="F138" s="25" t="n"/>
      <c r="G138" s="25" t="n"/>
      <c r="H138" s="26" t="n"/>
      <c r="I138" s="26" t="n"/>
      <c r="J138" s="27" t="n"/>
      <c r="K138" s="27" t="n"/>
      <c r="L138" s="23" t="n"/>
      <c r="M138" s="28">
        <f>IF($A138="","",IF($D138="","Not read",IF($Q138=0,"Not counted",IF(MAX($X138,$Y138)=3,"■ Red",IF(MAX($X138,$Y138)=2,"◧ Amber",IF(MAX($X138,$Y138)=1,"□ On track","Not read"))))))</f>
        <v/>
      </c>
      <c r="N138" s="28">
        <f>IF(OR($A138="",$B138&lt;&gt;"Program"),"","■ "&amp;COUNTIFS($C$6:$C$305,$A138,$M$6:$M$305,"■ Red")&amp;" Red, ◧ "&amp;COUNTIFS($C$6:$C$305,$A138,$M$6:$M$305,"◧ Amber")&amp;" Amber")</f>
        <v/>
      </c>
      <c r="O138" s="29">
        <f>IF(OR($A138="",$E138=""),"",COUNTIFS($E$6:$E$305,$E138,$D$6:$D$305,"Active")+COUNTIFS($E$6:$E$305,$E138,$D$6:$D$305,"Paused"))</f>
        <v/>
      </c>
      <c r="P138" s="28">
        <f>IF($A138="","",IF($AE138=0,"○ Clear",IF($AA138=1,"△ No owner",IF($AC138=1,"△ Check Sits under",IF($AC138=2,"△ Outside the portfolio",IF($AB138=1,"△ No sponsor",IF($AH138=1,"△ Name used twice",IF($AG138=1,"△ Budget only counts under Portfolio","△ No variance note"))))))&amp;IF($AE138&gt;1," (+"&amp;($AE138-1)&amp;" more)","")))</f>
        <v/>
      </c>
      <c r="Q138" s="28">
        <f>IF(AND($A138&lt;&gt;"",OR($D138="Active",$D138="Paused")),1,0)</f>
        <v/>
      </c>
      <c r="R138" s="28">
        <f>IFERROR(INDEX($A$6:$A$305,MATCH(131,$S$6:$S$305,0)),"")</f>
        <v/>
      </c>
      <c r="S138" s="28">
        <f>IF(AND($A138&lt;&gt;"",$B138="Program"),COUNTIFS($B$6:$B138,"Program",$A$6:$A138,"&lt;&gt;"),"")</f>
        <v/>
      </c>
      <c r="T138" s="30">
        <f>IF(AND($A138&lt;&gt;"",$B138="Program"),SUMPRODUCT(MAX(($C$6:$C$305=$A138)*($B$6:$B$305="Project")*($D$6:$D$305&lt;&gt;"Proposed")*$I$6:$I$305)),0)</f>
        <v/>
      </c>
      <c r="U138" s="30">
        <f>IF($I138&lt;&gt;"",$I138,IF($T138&gt;0,$T138,""))</f>
        <v/>
      </c>
      <c r="V138" s="28">
        <f>IF(AND($A138&lt;&gt;"",$B138="Program"),SUMIFS($J$6:$J$305,$C$6:$C$305,$A138,$B$6:$B$305,"Project",$D$6:$D$305,"&lt;&gt;Proposed"),0)</f>
        <v/>
      </c>
      <c r="W138" s="28">
        <f>IF(AND($A138&lt;&gt;"",$B138="Program"),COUNTIFS($C$6:$C$305,$A138,$B$6:$B$305,"Project",$D$6:$D$305,"&lt;&gt;Proposed")-COUNTIFS($C$6:$C$305,$A138,$B$6:$B$305,"Project",$D$6:$D$305,"&lt;&gt;Proposed",$J$6:$J$305,"&gt;=0"),0)</f>
        <v/>
      </c>
      <c r="X138" s="28">
        <f>IF(OR($Q138=0,$H138="",$AF138="Sprint"),0,IF(AND($B138="Project",$H138&lt;TODAY()),3,IF($U138="",0,IF($U138&lt;=$H138,1,IF(NETWORKDAYS($H138,$U138)-1&gt;IF($B138="Program",Checks!$B$7,Checks!$B$6),3,2)))))</f>
        <v/>
      </c>
      <c r="Y138" s="28">
        <f>IF(OR($Q138=0,$K138="",$K138=0,$AF138="Sprint"),0,IF(AND($B138="Project",$J138=""),0,IF(IF($B138="Program",$V138,$J138)&gt;$K138*(1+Checks!$B$8),3,IF(IF($B138="Program",$V138,$J138)&gt;$K138,2,IF(AND($B138="Program",OR($W138&gt;0,$V138=0)),0,1)))))</f>
        <v/>
      </c>
      <c r="Z138" s="28">
        <f>IF($A138="",0,IF($C138="Portfolio",1,IF(AND($B138="Project",$C138&lt;&gt;"",$C138&lt;&gt;"Outside the portfolio"),IFERROR(IF(AND(INDEX($B$6:$B$305,MATCH($C138,$A$6:$A$305,0))="Program",INDEX($C$6:$C$305,MATCH($C138,$A$6:$A$305,0))="Portfolio"),1,0),0),0)))</f>
        <v/>
      </c>
      <c r="AA138" s="28">
        <f>IF(AND($A138&lt;&gt;"",$E138="",OR($Q138=1,$D138="Proposed")),1,0)</f>
        <v/>
      </c>
      <c r="AB138" s="28">
        <f>IF(AND($A138&lt;&gt;"",$B138="Program",$F138="",$Q138=1),1,0)</f>
        <v/>
      </c>
      <c r="AC138" s="28">
        <f>IF(OR($A138="",$D138="Completed",$D138="Terminated"),0,IF($C138="",1,IF($C138="Portfolio",0,IF($C138="Outside the portfolio",IF($Q138=1,2,0),IF($B138="Project",IF(IFERROR(INDEX($B$6:$B$305,MATCH($C138,$A$6:$A$305,0)),"")="Program",0,1),1)))))</f>
        <v/>
      </c>
      <c r="AD138" s="28">
        <f>IF(AND($A138&lt;&gt;"",OR($M138="■ Red",$M138="◧ Amber"),$L138=""),1,0)</f>
        <v/>
      </c>
      <c r="AE138" s="28">
        <f>$AA138+$AB138+IF($AC138&gt;0,1,0)+$AD138+$AG138+$AH138</f>
        <v/>
      </c>
      <c r="AF138" s="25" t="n"/>
      <c r="AG138" s="28">
        <f>IF(AND($A138&lt;&gt;"",$K138&lt;&gt;"",$C138&lt;&gt;"Portfolio",$D138&lt;&gt;"Completed",$D138&lt;&gt;"Terminated"),1,0)</f>
        <v/>
      </c>
      <c r="AH138" s="28">
        <f>IF(AND($A138&lt;&gt;"",COUNTIF($A$6:$A$305,$A138)&gt;1),1,0)</f>
        <v/>
      </c>
      <c r="AI138" s="28">
        <f>IF(AND($A138&lt;&gt;"",$C138="Portfolio"),COUNTIFS($C$6:$C138,"Portfolio",$A$6:$A138,"&lt;&gt;"),"")</f>
        <v/>
      </c>
    </row>
    <row r="139">
      <c r="A139" s="25" t="n"/>
      <c r="B139" s="25" t="n"/>
      <c r="C139" s="25" t="n"/>
      <c r="D139" s="25" t="n"/>
      <c r="E139" s="25" t="n"/>
      <c r="F139" s="25" t="n"/>
      <c r="G139" s="25" t="n"/>
      <c r="H139" s="26" t="n"/>
      <c r="I139" s="26" t="n"/>
      <c r="J139" s="27" t="n"/>
      <c r="K139" s="27" t="n"/>
      <c r="L139" s="23" t="n"/>
      <c r="M139" s="28">
        <f>IF($A139="","",IF($D139="","Not read",IF($Q139=0,"Not counted",IF(MAX($X139,$Y139)=3,"■ Red",IF(MAX($X139,$Y139)=2,"◧ Amber",IF(MAX($X139,$Y139)=1,"□ On track","Not read"))))))</f>
        <v/>
      </c>
      <c r="N139" s="28">
        <f>IF(OR($A139="",$B139&lt;&gt;"Program"),"","■ "&amp;COUNTIFS($C$6:$C$305,$A139,$M$6:$M$305,"■ Red")&amp;" Red, ◧ "&amp;COUNTIFS($C$6:$C$305,$A139,$M$6:$M$305,"◧ Amber")&amp;" Amber")</f>
        <v/>
      </c>
      <c r="O139" s="29">
        <f>IF(OR($A139="",$E139=""),"",COUNTIFS($E$6:$E$305,$E139,$D$6:$D$305,"Active")+COUNTIFS($E$6:$E$305,$E139,$D$6:$D$305,"Paused"))</f>
        <v/>
      </c>
      <c r="P139" s="28">
        <f>IF($A139="","",IF($AE139=0,"○ Clear",IF($AA139=1,"△ No owner",IF($AC139=1,"△ Check Sits under",IF($AC139=2,"△ Outside the portfolio",IF($AB139=1,"△ No sponsor",IF($AH139=1,"△ Name used twice",IF($AG139=1,"△ Budget only counts under Portfolio","△ No variance note"))))))&amp;IF($AE139&gt;1," (+"&amp;($AE139-1)&amp;" more)","")))</f>
        <v/>
      </c>
      <c r="Q139" s="28">
        <f>IF(AND($A139&lt;&gt;"",OR($D139="Active",$D139="Paused")),1,0)</f>
        <v/>
      </c>
      <c r="R139" s="28">
        <f>IFERROR(INDEX($A$6:$A$305,MATCH(132,$S$6:$S$305,0)),"")</f>
        <v/>
      </c>
      <c r="S139" s="28">
        <f>IF(AND($A139&lt;&gt;"",$B139="Program"),COUNTIFS($B$6:$B139,"Program",$A$6:$A139,"&lt;&gt;"),"")</f>
        <v/>
      </c>
      <c r="T139" s="30">
        <f>IF(AND($A139&lt;&gt;"",$B139="Program"),SUMPRODUCT(MAX(($C$6:$C$305=$A139)*($B$6:$B$305="Project")*($D$6:$D$305&lt;&gt;"Proposed")*$I$6:$I$305)),0)</f>
        <v/>
      </c>
      <c r="U139" s="30">
        <f>IF($I139&lt;&gt;"",$I139,IF($T139&gt;0,$T139,""))</f>
        <v/>
      </c>
      <c r="V139" s="28">
        <f>IF(AND($A139&lt;&gt;"",$B139="Program"),SUMIFS($J$6:$J$305,$C$6:$C$305,$A139,$B$6:$B$305,"Project",$D$6:$D$305,"&lt;&gt;Proposed"),0)</f>
        <v/>
      </c>
      <c r="W139" s="28">
        <f>IF(AND($A139&lt;&gt;"",$B139="Program"),COUNTIFS($C$6:$C$305,$A139,$B$6:$B$305,"Project",$D$6:$D$305,"&lt;&gt;Proposed")-COUNTIFS($C$6:$C$305,$A139,$B$6:$B$305,"Project",$D$6:$D$305,"&lt;&gt;Proposed",$J$6:$J$305,"&gt;=0"),0)</f>
        <v/>
      </c>
      <c r="X139" s="28">
        <f>IF(OR($Q139=0,$H139="",$AF139="Sprint"),0,IF(AND($B139="Project",$H139&lt;TODAY()),3,IF($U139="",0,IF($U139&lt;=$H139,1,IF(NETWORKDAYS($H139,$U139)-1&gt;IF($B139="Program",Checks!$B$7,Checks!$B$6),3,2)))))</f>
        <v/>
      </c>
      <c r="Y139" s="28">
        <f>IF(OR($Q139=0,$K139="",$K139=0,$AF139="Sprint"),0,IF(AND($B139="Project",$J139=""),0,IF(IF($B139="Program",$V139,$J139)&gt;$K139*(1+Checks!$B$8),3,IF(IF($B139="Program",$V139,$J139)&gt;$K139,2,IF(AND($B139="Program",OR($W139&gt;0,$V139=0)),0,1)))))</f>
        <v/>
      </c>
      <c r="Z139" s="28">
        <f>IF($A139="",0,IF($C139="Portfolio",1,IF(AND($B139="Project",$C139&lt;&gt;"",$C139&lt;&gt;"Outside the portfolio"),IFERROR(IF(AND(INDEX($B$6:$B$305,MATCH($C139,$A$6:$A$305,0))="Program",INDEX($C$6:$C$305,MATCH($C139,$A$6:$A$305,0))="Portfolio"),1,0),0),0)))</f>
        <v/>
      </c>
      <c r="AA139" s="28">
        <f>IF(AND($A139&lt;&gt;"",$E139="",OR($Q139=1,$D139="Proposed")),1,0)</f>
        <v/>
      </c>
      <c r="AB139" s="28">
        <f>IF(AND($A139&lt;&gt;"",$B139="Program",$F139="",$Q139=1),1,0)</f>
        <v/>
      </c>
      <c r="AC139" s="28">
        <f>IF(OR($A139="",$D139="Completed",$D139="Terminated"),0,IF($C139="",1,IF($C139="Portfolio",0,IF($C139="Outside the portfolio",IF($Q139=1,2,0),IF($B139="Project",IF(IFERROR(INDEX($B$6:$B$305,MATCH($C139,$A$6:$A$305,0)),"")="Program",0,1),1)))))</f>
        <v/>
      </c>
      <c r="AD139" s="28">
        <f>IF(AND($A139&lt;&gt;"",OR($M139="■ Red",$M139="◧ Amber"),$L139=""),1,0)</f>
        <v/>
      </c>
      <c r="AE139" s="28">
        <f>$AA139+$AB139+IF($AC139&gt;0,1,0)+$AD139+$AG139+$AH139</f>
        <v/>
      </c>
      <c r="AF139" s="25" t="n"/>
      <c r="AG139" s="28">
        <f>IF(AND($A139&lt;&gt;"",$K139&lt;&gt;"",$C139&lt;&gt;"Portfolio",$D139&lt;&gt;"Completed",$D139&lt;&gt;"Terminated"),1,0)</f>
        <v/>
      </c>
      <c r="AH139" s="28">
        <f>IF(AND($A139&lt;&gt;"",COUNTIF($A$6:$A$305,$A139)&gt;1),1,0)</f>
        <v/>
      </c>
      <c r="AI139" s="28">
        <f>IF(AND($A139&lt;&gt;"",$C139="Portfolio"),COUNTIFS($C$6:$C139,"Portfolio",$A$6:$A139,"&lt;&gt;"),"")</f>
        <v/>
      </c>
    </row>
    <row r="140">
      <c r="A140" s="25" t="n"/>
      <c r="B140" s="25" t="n"/>
      <c r="C140" s="25" t="n"/>
      <c r="D140" s="25" t="n"/>
      <c r="E140" s="25" t="n"/>
      <c r="F140" s="25" t="n"/>
      <c r="G140" s="25" t="n"/>
      <c r="H140" s="26" t="n"/>
      <c r="I140" s="26" t="n"/>
      <c r="J140" s="27" t="n"/>
      <c r="K140" s="27" t="n"/>
      <c r="L140" s="23" t="n"/>
      <c r="M140" s="28">
        <f>IF($A140="","",IF($D140="","Not read",IF($Q140=0,"Not counted",IF(MAX($X140,$Y140)=3,"■ Red",IF(MAX($X140,$Y140)=2,"◧ Amber",IF(MAX($X140,$Y140)=1,"□ On track","Not read"))))))</f>
        <v/>
      </c>
      <c r="N140" s="28">
        <f>IF(OR($A140="",$B140&lt;&gt;"Program"),"","■ "&amp;COUNTIFS($C$6:$C$305,$A140,$M$6:$M$305,"■ Red")&amp;" Red, ◧ "&amp;COUNTIFS($C$6:$C$305,$A140,$M$6:$M$305,"◧ Amber")&amp;" Amber")</f>
        <v/>
      </c>
      <c r="O140" s="29">
        <f>IF(OR($A140="",$E140=""),"",COUNTIFS($E$6:$E$305,$E140,$D$6:$D$305,"Active")+COUNTIFS($E$6:$E$305,$E140,$D$6:$D$305,"Paused"))</f>
        <v/>
      </c>
      <c r="P140" s="28">
        <f>IF($A140="","",IF($AE140=0,"○ Clear",IF($AA140=1,"△ No owner",IF($AC140=1,"△ Check Sits under",IF($AC140=2,"△ Outside the portfolio",IF($AB140=1,"△ No sponsor",IF($AH140=1,"△ Name used twice",IF($AG140=1,"△ Budget only counts under Portfolio","△ No variance note"))))))&amp;IF($AE140&gt;1," (+"&amp;($AE140-1)&amp;" more)","")))</f>
        <v/>
      </c>
      <c r="Q140" s="28">
        <f>IF(AND($A140&lt;&gt;"",OR($D140="Active",$D140="Paused")),1,0)</f>
        <v/>
      </c>
      <c r="R140" s="28">
        <f>IFERROR(INDEX($A$6:$A$305,MATCH(133,$S$6:$S$305,0)),"")</f>
        <v/>
      </c>
      <c r="S140" s="28">
        <f>IF(AND($A140&lt;&gt;"",$B140="Program"),COUNTIFS($B$6:$B140,"Program",$A$6:$A140,"&lt;&gt;"),"")</f>
        <v/>
      </c>
      <c r="T140" s="30">
        <f>IF(AND($A140&lt;&gt;"",$B140="Program"),SUMPRODUCT(MAX(($C$6:$C$305=$A140)*($B$6:$B$305="Project")*($D$6:$D$305&lt;&gt;"Proposed")*$I$6:$I$305)),0)</f>
        <v/>
      </c>
      <c r="U140" s="30">
        <f>IF($I140&lt;&gt;"",$I140,IF($T140&gt;0,$T140,""))</f>
        <v/>
      </c>
      <c r="V140" s="28">
        <f>IF(AND($A140&lt;&gt;"",$B140="Program"),SUMIFS($J$6:$J$305,$C$6:$C$305,$A140,$B$6:$B$305,"Project",$D$6:$D$305,"&lt;&gt;Proposed"),0)</f>
        <v/>
      </c>
      <c r="W140" s="28">
        <f>IF(AND($A140&lt;&gt;"",$B140="Program"),COUNTIFS($C$6:$C$305,$A140,$B$6:$B$305,"Project",$D$6:$D$305,"&lt;&gt;Proposed")-COUNTIFS($C$6:$C$305,$A140,$B$6:$B$305,"Project",$D$6:$D$305,"&lt;&gt;Proposed",$J$6:$J$305,"&gt;=0"),0)</f>
        <v/>
      </c>
      <c r="X140" s="28">
        <f>IF(OR($Q140=0,$H140="",$AF140="Sprint"),0,IF(AND($B140="Project",$H140&lt;TODAY()),3,IF($U140="",0,IF($U140&lt;=$H140,1,IF(NETWORKDAYS($H140,$U140)-1&gt;IF($B140="Program",Checks!$B$7,Checks!$B$6),3,2)))))</f>
        <v/>
      </c>
      <c r="Y140" s="28">
        <f>IF(OR($Q140=0,$K140="",$K140=0,$AF140="Sprint"),0,IF(AND($B140="Project",$J140=""),0,IF(IF($B140="Program",$V140,$J140)&gt;$K140*(1+Checks!$B$8),3,IF(IF($B140="Program",$V140,$J140)&gt;$K140,2,IF(AND($B140="Program",OR($W140&gt;0,$V140=0)),0,1)))))</f>
        <v/>
      </c>
      <c r="Z140" s="28">
        <f>IF($A140="",0,IF($C140="Portfolio",1,IF(AND($B140="Project",$C140&lt;&gt;"",$C140&lt;&gt;"Outside the portfolio"),IFERROR(IF(AND(INDEX($B$6:$B$305,MATCH($C140,$A$6:$A$305,0))="Program",INDEX($C$6:$C$305,MATCH($C140,$A$6:$A$305,0))="Portfolio"),1,0),0),0)))</f>
        <v/>
      </c>
      <c r="AA140" s="28">
        <f>IF(AND($A140&lt;&gt;"",$E140="",OR($Q140=1,$D140="Proposed")),1,0)</f>
        <v/>
      </c>
      <c r="AB140" s="28">
        <f>IF(AND($A140&lt;&gt;"",$B140="Program",$F140="",$Q140=1),1,0)</f>
        <v/>
      </c>
      <c r="AC140" s="28">
        <f>IF(OR($A140="",$D140="Completed",$D140="Terminated"),0,IF($C140="",1,IF($C140="Portfolio",0,IF($C140="Outside the portfolio",IF($Q140=1,2,0),IF($B140="Project",IF(IFERROR(INDEX($B$6:$B$305,MATCH($C140,$A$6:$A$305,0)),"")="Program",0,1),1)))))</f>
        <v/>
      </c>
      <c r="AD140" s="28">
        <f>IF(AND($A140&lt;&gt;"",OR($M140="■ Red",$M140="◧ Amber"),$L140=""),1,0)</f>
        <v/>
      </c>
      <c r="AE140" s="28">
        <f>$AA140+$AB140+IF($AC140&gt;0,1,0)+$AD140+$AG140+$AH140</f>
        <v/>
      </c>
      <c r="AF140" s="25" t="n"/>
      <c r="AG140" s="28">
        <f>IF(AND($A140&lt;&gt;"",$K140&lt;&gt;"",$C140&lt;&gt;"Portfolio",$D140&lt;&gt;"Completed",$D140&lt;&gt;"Terminated"),1,0)</f>
        <v/>
      </c>
      <c r="AH140" s="28">
        <f>IF(AND($A140&lt;&gt;"",COUNTIF($A$6:$A$305,$A140)&gt;1),1,0)</f>
        <v/>
      </c>
      <c r="AI140" s="28">
        <f>IF(AND($A140&lt;&gt;"",$C140="Portfolio"),COUNTIFS($C$6:$C140,"Portfolio",$A$6:$A140,"&lt;&gt;"),"")</f>
        <v/>
      </c>
    </row>
    <row r="141">
      <c r="A141" s="25" t="n"/>
      <c r="B141" s="25" t="n"/>
      <c r="C141" s="25" t="n"/>
      <c r="D141" s="25" t="n"/>
      <c r="E141" s="25" t="n"/>
      <c r="F141" s="25" t="n"/>
      <c r="G141" s="25" t="n"/>
      <c r="H141" s="26" t="n"/>
      <c r="I141" s="26" t="n"/>
      <c r="J141" s="27" t="n"/>
      <c r="K141" s="27" t="n"/>
      <c r="L141" s="23" t="n"/>
      <c r="M141" s="28">
        <f>IF($A141="","",IF($D141="","Not read",IF($Q141=0,"Not counted",IF(MAX($X141,$Y141)=3,"■ Red",IF(MAX($X141,$Y141)=2,"◧ Amber",IF(MAX($X141,$Y141)=1,"□ On track","Not read"))))))</f>
        <v/>
      </c>
      <c r="N141" s="28">
        <f>IF(OR($A141="",$B141&lt;&gt;"Program"),"","■ "&amp;COUNTIFS($C$6:$C$305,$A141,$M$6:$M$305,"■ Red")&amp;" Red, ◧ "&amp;COUNTIFS($C$6:$C$305,$A141,$M$6:$M$305,"◧ Amber")&amp;" Amber")</f>
        <v/>
      </c>
      <c r="O141" s="29">
        <f>IF(OR($A141="",$E141=""),"",COUNTIFS($E$6:$E$305,$E141,$D$6:$D$305,"Active")+COUNTIFS($E$6:$E$305,$E141,$D$6:$D$305,"Paused"))</f>
        <v/>
      </c>
      <c r="P141" s="28">
        <f>IF($A141="","",IF($AE141=0,"○ Clear",IF($AA141=1,"△ No owner",IF($AC141=1,"△ Check Sits under",IF($AC141=2,"△ Outside the portfolio",IF($AB141=1,"△ No sponsor",IF($AH141=1,"△ Name used twice",IF($AG141=1,"△ Budget only counts under Portfolio","△ No variance note"))))))&amp;IF($AE141&gt;1," (+"&amp;($AE141-1)&amp;" more)","")))</f>
        <v/>
      </c>
      <c r="Q141" s="28">
        <f>IF(AND($A141&lt;&gt;"",OR($D141="Active",$D141="Paused")),1,0)</f>
        <v/>
      </c>
      <c r="R141" s="28">
        <f>IFERROR(INDEX($A$6:$A$305,MATCH(134,$S$6:$S$305,0)),"")</f>
        <v/>
      </c>
      <c r="S141" s="28">
        <f>IF(AND($A141&lt;&gt;"",$B141="Program"),COUNTIFS($B$6:$B141,"Program",$A$6:$A141,"&lt;&gt;"),"")</f>
        <v/>
      </c>
      <c r="T141" s="30">
        <f>IF(AND($A141&lt;&gt;"",$B141="Program"),SUMPRODUCT(MAX(($C$6:$C$305=$A141)*($B$6:$B$305="Project")*($D$6:$D$305&lt;&gt;"Proposed")*$I$6:$I$305)),0)</f>
        <v/>
      </c>
      <c r="U141" s="30">
        <f>IF($I141&lt;&gt;"",$I141,IF($T141&gt;0,$T141,""))</f>
        <v/>
      </c>
      <c r="V141" s="28">
        <f>IF(AND($A141&lt;&gt;"",$B141="Program"),SUMIFS($J$6:$J$305,$C$6:$C$305,$A141,$B$6:$B$305,"Project",$D$6:$D$305,"&lt;&gt;Proposed"),0)</f>
        <v/>
      </c>
      <c r="W141" s="28">
        <f>IF(AND($A141&lt;&gt;"",$B141="Program"),COUNTIFS($C$6:$C$305,$A141,$B$6:$B$305,"Project",$D$6:$D$305,"&lt;&gt;Proposed")-COUNTIFS($C$6:$C$305,$A141,$B$6:$B$305,"Project",$D$6:$D$305,"&lt;&gt;Proposed",$J$6:$J$305,"&gt;=0"),0)</f>
        <v/>
      </c>
      <c r="X141" s="28">
        <f>IF(OR($Q141=0,$H141="",$AF141="Sprint"),0,IF(AND($B141="Project",$H141&lt;TODAY()),3,IF($U141="",0,IF($U141&lt;=$H141,1,IF(NETWORKDAYS($H141,$U141)-1&gt;IF($B141="Program",Checks!$B$7,Checks!$B$6),3,2)))))</f>
        <v/>
      </c>
      <c r="Y141" s="28">
        <f>IF(OR($Q141=0,$K141="",$K141=0,$AF141="Sprint"),0,IF(AND($B141="Project",$J141=""),0,IF(IF($B141="Program",$V141,$J141)&gt;$K141*(1+Checks!$B$8),3,IF(IF($B141="Program",$V141,$J141)&gt;$K141,2,IF(AND($B141="Program",OR($W141&gt;0,$V141=0)),0,1)))))</f>
        <v/>
      </c>
      <c r="Z141" s="28">
        <f>IF($A141="",0,IF($C141="Portfolio",1,IF(AND($B141="Project",$C141&lt;&gt;"",$C141&lt;&gt;"Outside the portfolio"),IFERROR(IF(AND(INDEX($B$6:$B$305,MATCH($C141,$A$6:$A$305,0))="Program",INDEX($C$6:$C$305,MATCH($C141,$A$6:$A$305,0))="Portfolio"),1,0),0),0)))</f>
        <v/>
      </c>
      <c r="AA141" s="28">
        <f>IF(AND($A141&lt;&gt;"",$E141="",OR($Q141=1,$D141="Proposed")),1,0)</f>
        <v/>
      </c>
      <c r="AB141" s="28">
        <f>IF(AND($A141&lt;&gt;"",$B141="Program",$F141="",$Q141=1),1,0)</f>
        <v/>
      </c>
      <c r="AC141" s="28">
        <f>IF(OR($A141="",$D141="Completed",$D141="Terminated"),0,IF($C141="",1,IF($C141="Portfolio",0,IF($C141="Outside the portfolio",IF($Q141=1,2,0),IF($B141="Project",IF(IFERROR(INDEX($B$6:$B$305,MATCH($C141,$A$6:$A$305,0)),"")="Program",0,1),1)))))</f>
        <v/>
      </c>
      <c r="AD141" s="28">
        <f>IF(AND($A141&lt;&gt;"",OR($M141="■ Red",$M141="◧ Amber"),$L141=""),1,0)</f>
        <v/>
      </c>
      <c r="AE141" s="28">
        <f>$AA141+$AB141+IF($AC141&gt;0,1,0)+$AD141+$AG141+$AH141</f>
        <v/>
      </c>
      <c r="AF141" s="25" t="n"/>
      <c r="AG141" s="28">
        <f>IF(AND($A141&lt;&gt;"",$K141&lt;&gt;"",$C141&lt;&gt;"Portfolio",$D141&lt;&gt;"Completed",$D141&lt;&gt;"Terminated"),1,0)</f>
        <v/>
      </c>
      <c r="AH141" s="28">
        <f>IF(AND($A141&lt;&gt;"",COUNTIF($A$6:$A$305,$A141)&gt;1),1,0)</f>
        <v/>
      </c>
      <c r="AI141" s="28">
        <f>IF(AND($A141&lt;&gt;"",$C141="Portfolio"),COUNTIFS($C$6:$C141,"Portfolio",$A$6:$A141,"&lt;&gt;"),"")</f>
        <v/>
      </c>
    </row>
    <row r="142">
      <c r="A142" s="25" t="n"/>
      <c r="B142" s="25" t="n"/>
      <c r="C142" s="25" t="n"/>
      <c r="D142" s="25" t="n"/>
      <c r="E142" s="25" t="n"/>
      <c r="F142" s="25" t="n"/>
      <c r="G142" s="25" t="n"/>
      <c r="H142" s="26" t="n"/>
      <c r="I142" s="26" t="n"/>
      <c r="J142" s="27" t="n"/>
      <c r="K142" s="27" t="n"/>
      <c r="L142" s="23" t="n"/>
      <c r="M142" s="28">
        <f>IF($A142="","",IF($D142="","Not read",IF($Q142=0,"Not counted",IF(MAX($X142,$Y142)=3,"■ Red",IF(MAX($X142,$Y142)=2,"◧ Amber",IF(MAX($X142,$Y142)=1,"□ On track","Not read"))))))</f>
        <v/>
      </c>
      <c r="N142" s="28">
        <f>IF(OR($A142="",$B142&lt;&gt;"Program"),"","■ "&amp;COUNTIFS($C$6:$C$305,$A142,$M$6:$M$305,"■ Red")&amp;" Red, ◧ "&amp;COUNTIFS($C$6:$C$305,$A142,$M$6:$M$305,"◧ Amber")&amp;" Amber")</f>
        <v/>
      </c>
      <c r="O142" s="29">
        <f>IF(OR($A142="",$E142=""),"",COUNTIFS($E$6:$E$305,$E142,$D$6:$D$305,"Active")+COUNTIFS($E$6:$E$305,$E142,$D$6:$D$305,"Paused"))</f>
        <v/>
      </c>
      <c r="P142" s="28">
        <f>IF($A142="","",IF($AE142=0,"○ Clear",IF($AA142=1,"△ No owner",IF($AC142=1,"△ Check Sits under",IF($AC142=2,"△ Outside the portfolio",IF($AB142=1,"△ No sponsor",IF($AH142=1,"△ Name used twice",IF($AG142=1,"△ Budget only counts under Portfolio","△ No variance note"))))))&amp;IF($AE142&gt;1," (+"&amp;($AE142-1)&amp;" more)","")))</f>
        <v/>
      </c>
      <c r="Q142" s="28">
        <f>IF(AND($A142&lt;&gt;"",OR($D142="Active",$D142="Paused")),1,0)</f>
        <v/>
      </c>
      <c r="R142" s="28">
        <f>IFERROR(INDEX($A$6:$A$305,MATCH(135,$S$6:$S$305,0)),"")</f>
        <v/>
      </c>
      <c r="S142" s="28">
        <f>IF(AND($A142&lt;&gt;"",$B142="Program"),COUNTIFS($B$6:$B142,"Program",$A$6:$A142,"&lt;&gt;"),"")</f>
        <v/>
      </c>
      <c r="T142" s="30">
        <f>IF(AND($A142&lt;&gt;"",$B142="Program"),SUMPRODUCT(MAX(($C$6:$C$305=$A142)*($B$6:$B$305="Project")*($D$6:$D$305&lt;&gt;"Proposed")*$I$6:$I$305)),0)</f>
        <v/>
      </c>
      <c r="U142" s="30">
        <f>IF($I142&lt;&gt;"",$I142,IF($T142&gt;0,$T142,""))</f>
        <v/>
      </c>
      <c r="V142" s="28">
        <f>IF(AND($A142&lt;&gt;"",$B142="Program"),SUMIFS($J$6:$J$305,$C$6:$C$305,$A142,$B$6:$B$305,"Project",$D$6:$D$305,"&lt;&gt;Proposed"),0)</f>
        <v/>
      </c>
      <c r="W142" s="28">
        <f>IF(AND($A142&lt;&gt;"",$B142="Program"),COUNTIFS($C$6:$C$305,$A142,$B$6:$B$305,"Project",$D$6:$D$305,"&lt;&gt;Proposed")-COUNTIFS($C$6:$C$305,$A142,$B$6:$B$305,"Project",$D$6:$D$305,"&lt;&gt;Proposed",$J$6:$J$305,"&gt;=0"),0)</f>
        <v/>
      </c>
      <c r="X142" s="28">
        <f>IF(OR($Q142=0,$H142="",$AF142="Sprint"),0,IF(AND($B142="Project",$H142&lt;TODAY()),3,IF($U142="",0,IF($U142&lt;=$H142,1,IF(NETWORKDAYS($H142,$U142)-1&gt;IF($B142="Program",Checks!$B$7,Checks!$B$6),3,2)))))</f>
        <v/>
      </c>
      <c r="Y142" s="28">
        <f>IF(OR($Q142=0,$K142="",$K142=0,$AF142="Sprint"),0,IF(AND($B142="Project",$J142=""),0,IF(IF($B142="Program",$V142,$J142)&gt;$K142*(1+Checks!$B$8),3,IF(IF($B142="Program",$V142,$J142)&gt;$K142,2,IF(AND($B142="Program",OR($W142&gt;0,$V142=0)),0,1)))))</f>
        <v/>
      </c>
      <c r="Z142" s="28">
        <f>IF($A142="",0,IF($C142="Portfolio",1,IF(AND($B142="Project",$C142&lt;&gt;"",$C142&lt;&gt;"Outside the portfolio"),IFERROR(IF(AND(INDEX($B$6:$B$305,MATCH($C142,$A$6:$A$305,0))="Program",INDEX($C$6:$C$305,MATCH($C142,$A$6:$A$305,0))="Portfolio"),1,0),0),0)))</f>
        <v/>
      </c>
      <c r="AA142" s="28">
        <f>IF(AND($A142&lt;&gt;"",$E142="",OR($Q142=1,$D142="Proposed")),1,0)</f>
        <v/>
      </c>
      <c r="AB142" s="28">
        <f>IF(AND($A142&lt;&gt;"",$B142="Program",$F142="",$Q142=1),1,0)</f>
        <v/>
      </c>
      <c r="AC142" s="28">
        <f>IF(OR($A142="",$D142="Completed",$D142="Terminated"),0,IF($C142="",1,IF($C142="Portfolio",0,IF($C142="Outside the portfolio",IF($Q142=1,2,0),IF($B142="Project",IF(IFERROR(INDEX($B$6:$B$305,MATCH($C142,$A$6:$A$305,0)),"")="Program",0,1),1)))))</f>
        <v/>
      </c>
      <c r="AD142" s="28">
        <f>IF(AND($A142&lt;&gt;"",OR($M142="■ Red",$M142="◧ Amber"),$L142=""),1,0)</f>
        <v/>
      </c>
      <c r="AE142" s="28">
        <f>$AA142+$AB142+IF($AC142&gt;0,1,0)+$AD142+$AG142+$AH142</f>
        <v/>
      </c>
      <c r="AF142" s="25" t="n"/>
      <c r="AG142" s="28">
        <f>IF(AND($A142&lt;&gt;"",$K142&lt;&gt;"",$C142&lt;&gt;"Portfolio",$D142&lt;&gt;"Completed",$D142&lt;&gt;"Terminated"),1,0)</f>
        <v/>
      </c>
      <c r="AH142" s="28">
        <f>IF(AND($A142&lt;&gt;"",COUNTIF($A$6:$A$305,$A142)&gt;1),1,0)</f>
        <v/>
      </c>
      <c r="AI142" s="28">
        <f>IF(AND($A142&lt;&gt;"",$C142="Portfolio"),COUNTIFS($C$6:$C142,"Portfolio",$A$6:$A142,"&lt;&gt;"),"")</f>
        <v/>
      </c>
    </row>
    <row r="143">
      <c r="A143" s="25" t="n"/>
      <c r="B143" s="25" t="n"/>
      <c r="C143" s="25" t="n"/>
      <c r="D143" s="25" t="n"/>
      <c r="E143" s="25" t="n"/>
      <c r="F143" s="25" t="n"/>
      <c r="G143" s="25" t="n"/>
      <c r="H143" s="26" t="n"/>
      <c r="I143" s="26" t="n"/>
      <c r="J143" s="27" t="n"/>
      <c r="K143" s="27" t="n"/>
      <c r="L143" s="23" t="n"/>
      <c r="M143" s="28">
        <f>IF($A143="","",IF($D143="","Not read",IF($Q143=0,"Not counted",IF(MAX($X143,$Y143)=3,"■ Red",IF(MAX($X143,$Y143)=2,"◧ Amber",IF(MAX($X143,$Y143)=1,"□ On track","Not read"))))))</f>
        <v/>
      </c>
      <c r="N143" s="28">
        <f>IF(OR($A143="",$B143&lt;&gt;"Program"),"","■ "&amp;COUNTIFS($C$6:$C$305,$A143,$M$6:$M$305,"■ Red")&amp;" Red, ◧ "&amp;COUNTIFS($C$6:$C$305,$A143,$M$6:$M$305,"◧ Amber")&amp;" Amber")</f>
        <v/>
      </c>
      <c r="O143" s="29">
        <f>IF(OR($A143="",$E143=""),"",COUNTIFS($E$6:$E$305,$E143,$D$6:$D$305,"Active")+COUNTIFS($E$6:$E$305,$E143,$D$6:$D$305,"Paused"))</f>
        <v/>
      </c>
      <c r="P143" s="28">
        <f>IF($A143="","",IF($AE143=0,"○ Clear",IF($AA143=1,"△ No owner",IF($AC143=1,"△ Check Sits under",IF($AC143=2,"△ Outside the portfolio",IF($AB143=1,"△ No sponsor",IF($AH143=1,"△ Name used twice",IF($AG143=1,"△ Budget only counts under Portfolio","△ No variance note"))))))&amp;IF($AE143&gt;1," (+"&amp;($AE143-1)&amp;" more)","")))</f>
        <v/>
      </c>
      <c r="Q143" s="28">
        <f>IF(AND($A143&lt;&gt;"",OR($D143="Active",$D143="Paused")),1,0)</f>
        <v/>
      </c>
      <c r="R143" s="28">
        <f>IFERROR(INDEX($A$6:$A$305,MATCH(136,$S$6:$S$305,0)),"")</f>
        <v/>
      </c>
      <c r="S143" s="28">
        <f>IF(AND($A143&lt;&gt;"",$B143="Program"),COUNTIFS($B$6:$B143,"Program",$A$6:$A143,"&lt;&gt;"),"")</f>
        <v/>
      </c>
      <c r="T143" s="30">
        <f>IF(AND($A143&lt;&gt;"",$B143="Program"),SUMPRODUCT(MAX(($C$6:$C$305=$A143)*($B$6:$B$305="Project")*($D$6:$D$305&lt;&gt;"Proposed")*$I$6:$I$305)),0)</f>
        <v/>
      </c>
      <c r="U143" s="30">
        <f>IF($I143&lt;&gt;"",$I143,IF($T143&gt;0,$T143,""))</f>
        <v/>
      </c>
      <c r="V143" s="28">
        <f>IF(AND($A143&lt;&gt;"",$B143="Program"),SUMIFS($J$6:$J$305,$C$6:$C$305,$A143,$B$6:$B$305,"Project",$D$6:$D$305,"&lt;&gt;Proposed"),0)</f>
        <v/>
      </c>
      <c r="W143" s="28">
        <f>IF(AND($A143&lt;&gt;"",$B143="Program"),COUNTIFS($C$6:$C$305,$A143,$B$6:$B$305,"Project",$D$6:$D$305,"&lt;&gt;Proposed")-COUNTIFS($C$6:$C$305,$A143,$B$6:$B$305,"Project",$D$6:$D$305,"&lt;&gt;Proposed",$J$6:$J$305,"&gt;=0"),0)</f>
        <v/>
      </c>
      <c r="X143" s="28">
        <f>IF(OR($Q143=0,$H143="",$AF143="Sprint"),0,IF(AND($B143="Project",$H143&lt;TODAY()),3,IF($U143="",0,IF($U143&lt;=$H143,1,IF(NETWORKDAYS($H143,$U143)-1&gt;IF($B143="Program",Checks!$B$7,Checks!$B$6),3,2)))))</f>
        <v/>
      </c>
      <c r="Y143" s="28">
        <f>IF(OR($Q143=0,$K143="",$K143=0,$AF143="Sprint"),0,IF(AND($B143="Project",$J143=""),0,IF(IF($B143="Program",$V143,$J143)&gt;$K143*(1+Checks!$B$8),3,IF(IF($B143="Program",$V143,$J143)&gt;$K143,2,IF(AND($B143="Program",OR($W143&gt;0,$V143=0)),0,1)))))</f>
        <v/>
      </c>
      <c r="Z143" s="28">
        <f>IF($A143="",0,IF($C143="Portfolio",1,IF(AND($B143="Project",$C143&lt;&gt;"",$C143&lt;&gt;"Outside the portfolio"),IFERROR(IF(AND(INDEX($B$6:$B$305,MATCH($C143,$A$6:$A$305,0))="Program",INDEX($C$6:$C$305,MATCH($C143,$A$6:$A$305,0))="Portfolio"),1,0),0),0)))</f>
        <v/>
      </c>
      <c r="AA143" s="28">
        <f>IF(AND($A143&lt;&gt;"",$E143="",OR($Q143=1,$D143="Proposed")),1,0)</f>
        <v/>
      </c>
      <c r="AB143" s="28">
        <f>IF(AND($A143&lt;&gt;"",$B143="Program",$F143="",$Q143=1),1,0)</f>
        <v/>
      </c>
      <c r="AC143" s="28">
        <f>IF(OR($A143="",$D143="Completed",$D143="Terminated"),0,IF($C143="",1,IF($C143="Portfolio",0,IF($C143="Outside the portfolio",IF($Q143=1,2,0),IF($B143="Project",IF(IFERROR(INDEX($B$6:$B$305,MATCH($C143,$A$6:$A$305,0)),"")="Program",0,1),1)))))</f>
        <v/>
      </c>
      <c r="AD143" s="28">
        <f>IF(AND($A143&lt;&gt;"",OR($M143="■ Red",$M143="◧ Amber"),$L143=""),1,0)</f>
        <v/>
      </c>
      <c r="AE143" s="28">
        <f>$AA143+$AB143+IF($AC143&gt;0,1,0)+$AD143+$AG143+$AH143</f>
        <v/>
      </c>
      <c r="AF143" s="25" t="n"/>
      <c r="AG143" s="28">
        <f>IF(AND($A143&lt;&gt;"",$K143&lt;&gt;"",$C143&lt;&gt;"Portfolio",$D143&lt;&gt;"Completed",$D143&lt;&gt;"Terminated"),1,0)</f>
        <v/>
      </c>
      <c r="AH143" s="28">
        <f>IF(AND($A143&lt;&gt;"",COUNTIF($A$6:$A$305,$A143)&gt;1),1,0)</f>
        <v/>
      </c>
      <c r="AI143" s="28">
        <f>IF(AND($A143&lt;&gt;"",$C143="Portfolio"),COUNTIFS($C$6:$C143,"Portfolio",$A$6:$A143,"&lt;&gt;"),"")</f>
        <v/>
      </c>
    </row>
    <row r="144">
      <c r="A144" s="25" t="n"/>
      <c r="B144" s="25" t="n"/>
      <c r="C144" s="25" t="n"/>
      <c r="D144" s="25" t="n"/>
      <c r="E144" s="25" t="n"/>
      <c r="F144" s="25" t="n"/>
      <c r="G144" s="25" t="n"/>
      <c r="H144" s="26" t="n"/>
      <c r="I144" s="26" t="n"/>
      <c r="J144" s="27" t="n"/>
      <c r="K144" s="27" t="n"/>
      <c r="L144" s="23" t="n"/>
      <c r="M144" s="28">
        <f>IF($A144="","",IF($D144="","Not read",IF($Q144=0,"Not counted",IF(MAX($X144,$Y144)=3,"■ Red",IF(MAX($X144,$Y144)=2,"◧ Amber",IF(MAX($X144,$Y144)=1,"□ On track","Not read"))))))</f>
        <v/>
      </c>
      <c r="N144" s="28">
        <f>IF(OR($A144="",$B144&lt;&gt;"Program"),"","■ "&amp;COUNTIFS($C$6:$C$305,$A144,$M$6:$M$305,"■ Red")&amp;" Red, ◧ "&amp;COUNTIFS($C$6:$C$305,$A144,$M$6:$M$305,"◧ Amber")&amp;" Amber")</f>
        <v/>
      </c>
      <c r="O144" s="29">
        <f>IF(OR($A144="",$E144=""),"",COUNTIFS($E$6:$E$305,$E144,$D$6:$D$305,"Active")+COUNTIFS($E$6:$E$305,$E144,$D$6:$D$305,"Paused"))</f>
        <v/>
      </c>
      <c r="P144" s="28">
        <f>IF($A144="","",IF($AE144=0,"○ Clear",IF($AA144=1,"△ No owner",IF($AC144=1,"△ Check Sits under",IF($AC144=2,"△ Outside the portfolio",IF($AB144=1,"△ No sponsor",IF($AH144=1,"△ Name used twice",IF($AG144=1,"△ Budget only counts under Portfolio","△ No variance note"))))))&amp;IF($AE144&gt;1," (+"&amp;($AE144-1)&amp;" more)","")))</f>
        <v/>
      </c>
      <c r="Q144" s="28">
        <f>IF(AND($A144&lt;&gt;"",OR($D144="Active",$D144="Paused")),1,0)</f>
        <v/>
      </c>
      <c r="R144" s="28">
        <f>IFERROR(INDEX($A$6:$A$305,MATCH(137,$S$6:$S$305,0)),"")</f>
        <v/>
      </c>
      <c r="S144" s="28">
        <f>IF(AND($A144&lt;&gt;"",$B144="Program"),COUNTIFS($B$6:$B144,"Program",$A$6:$A144,"&lt;&gt;"),"")</f>
        <v/>
      </c>
      <c r="T144" s="30">
        <f>IF(AND($A144&lt;&gt;"",$B144="Program"),SUMPRODUCT(MAX(($C$6:$C$305=$A144)*($B$6:$B$305="Project")*($D$6:$D$305&lt;&gt;"Proposed")*$I$6:$I$305)),0)</f>
        <v/>
      </c>
      <c r="U144" s="30">
        <f>IF($I144&lt;&gt;"",$I144,IF($T144&gt;0,$T144,""))</f>
        <v/>
      </c>
      <c r="V144" s="28">
        <f>IF(AND($A144&lt;&gt;"",$B144="Program"),SUMIFS($J$6:$J$305,$C$6:$C$305,$A144,$B$6:$B$305,"Project",$D$6:$D$305,"&lt;&gt;Proposed"),0)</f>
        <v/>
      </c>
      <c r="W144" s="28">
        <f>IF(AND($A144&lt;&gt;"",$B144="Program"),COUNTIFS($C$6:$C$305,$A144,$B$6:$B$305,"Project",$D$6:$D$305,"&lt;&gt;Proposed")-COUNTIFS($C$6:$C$305,$A144,$B$6:$B$305,"Project",$D$6:$D$305,"&lt;&gt;Proposed",$J$6:$J$305,"&gt;=0"),0)</f>
        <v/>
      </c>
      <c r="X144" s="28">
        <f>IF(OR($Q144=0,$H144="",$AF144="Sprint"),0,IF(AND($B144="Project",$H144&lt;TODAY()),3,IF($U144="",0,IF($U144&lt;=$H144,1,IF(NETWORKDAYS($H144,$U144)-1&gt;IF($B144="Program",Checks!$B$7,Checks!$B$6),3,2)))))</f>
        <v/>
      </c>
      <c r="Y144" s="28">
        <f>IF(OR($Q144=0,$K144="",$K144=0,$AF144="Sprint"),0,IF(AND($B144="Project",$J144=""),0,IF(IF($B144="Program",$V144,$J144)&gt;$K144*(1+Checks!$B$8),3,IF(IF($B144="Program",$V144,$J144)&gt;$K144,2,IF(AND($B144="Program",OR($W144&gt;0,$V144=0)),0,1)))))</f>
        <v/>
      </c>
      <c r="Z144" s="28">
        <f>IF($A144="",0,IF($C144="Portfolio",1,IF(AND($B144="Project",$C144&lt;&gt;"",$C144&lt;&gt;"Outside the portfolio"),IFERROR(IF(AND(INDEX($B$6:$B$305,MATCH($C144,$A$6:$A$305,0))="Program",INDEX($C$6:$C$305,MATCH($C144,$A$6:$A$305,0))="Portfolio"),1,0),0),0)))</f>
        <v/>
      </c>
      <c r="AA144" s="28">
        <f>IF(AND($A144&lt;&gt;"",$E144="",OR($Q144=1,$D144="Proposed")),1,0)</f>
        <v/>
      </c>
      <c r="AB144" s="28">
        <f>IF(AND($A144&lt;&gt;"",$B144="Program",$F144="",$Q144=1),1,0)</f>
        <v/>
      </c>
      <c r="AC144" s="28">
        <f>IF(OR($A144="",$D144="Completed",$D144="Terminated"),0,IF($C144="",1,IF($C144="Portfolio",0,IF($C144="Outside the portfolio",IF($Q144=1,2,0),IF($B144="Project",IF(IFERROR(INDEX($B$6:$B$305,MATCH($C144,$A$6:$A$305,0)),"")="Program",0,1),1)))))</f>
        <v/>
      </c>
      <c r="AD144" s="28">
        <f>IF(AND($A144&lt;&gt;"",OR($M144="■ Red",$M144="◧ Amber"),$L144=""),1,0)</f>
        <v/>
      </c>
      <c r="AE144" s="28">
        <f>$AA144+$AB144+IF($AC144&gt;0,1,0)+$AD144+$AG144+$AH144</f>
        <v/>
      </c>
      <c r="AF144" s="25" t="n"/>
      <c r="AG144" s="28">
        <f>IF(AND($A144&lt;&gt;"",$K144&lt;&gt;"",$C144&lt;&gt;"Portfolio",$D144&lt;&gt;"Completed",$D144&lt;&gt;"Terminated"),1,0)</f>
        <v/>
      </c>
      <c r="AH144" s="28">
        <f>IF(AND($A144&lt;&gt;"",COUNTIF($A$6:$A$305,$A144)&gt;1),1,0)</f>
        <v/>
      </c>
      <c r="AI144" s="28">
        <f>IF(AND($A144&lt;&gt;"",$C144="Portfolio"),COUNTIFS($C$6:$C144,"Portfolio",$A$6:$A144,"&lt;&gt;"),"")</f>
        <v/>
      </c>
    </row>
    <row r="145">
      <c r="A145" s="25" t="n"/>
      <c r="B145" s="25" t="n"/>
      <c r="C145" s="25" t="n"/>
      <c r="D145" s="25" t="n"/>
      <c r="E145" s="25" t="n"/>
      <c r="F145" s="25" t="n"/>
      <c r="G145" s="25" t="n"/>
      <c r="H145" s="26" t="n"/>
      <c r="I145" s="26" t="n"/>
      <c r="J145" s="27" t="n"/>
      <c r="K145" s="27" t="n"/>
      <c r="L145" s="23" t="n"/>
      <c r="M145" s="28">
        <f>IF($A145="","",IF($D145="","Not read",IF($Q145=0,"Not counted",IF(MAX($X145,$Y145)=3,"■ Red",IF(MAX($X145,$Y145)=2,"◧ Amber",IF(MAX($X145,$Y145)=1,"□ On track","Not read"))))))</f>
        <v/>
      </c>
      <c r="N145" s="28">
        <f>IF(OR($A145="",$B145&lt;&gt;"Program"),"","■ "&amp;COUNTIFS($C$6:$C$305,$A145,$M$6:$M$305,"■ Red")&amp;" Red, ◧ "&amp;COUNTIFS($C$6:$C$305,$A145,$M$6:$M$305,"◧ Amber")&amp;" Amber")</f>
        <v/>
      </c>
      <c r="O145" s="29">
        <f>IF(OR($A145="",$E145=""),"",COUNTIFS($E$6:$E$305,$E145,$D$6:$D$305,"Active")+COUNTIFS($E$6:$E$305,$E145,$D$6:$D$305,"Paused"))</f>
        <v/>
      </c>
      <c r="P145" s="28">
        <f>IF($A145="","",IF($AE145=0,"○ Clear",IF($AA145=1,"△ No owner",IF($AC145=1,"△ Check Sits under",IF($AC145=2,"△ Outside the portfolio",IF($AB145=1,"△ No sponsor",IF($AH145=1,"△ Name used twice",IF($AG145=1,"△ Budget only counts under Portfolio","△ No variance note"))))))&amp;IF($AE145&gt;1," (+"&amp;($AE145-1)&amp;" more)","")))</f>
        <v/>
      </c>
      <c r="Q145" s="28">
        <f>IF(AND($A145&lt;&gt;"",OR($D145="Active",$D145="Paused")),1,0)</f>
        <v/>
      </c>
      <c r="R145" s="28">
        <f>IFERROR(INDEX($A$6:$A$305,MATCH(138,$S$6:$S$305,0)),"")</f>
        <v/>
      </c>
      <c r="S145" s="28">
        <f>IF(AND($A145&lt;&gt;"",$B145="Program"),COUNTIFS($B$6:$B145,"Program",$A$6:$A145,"&lt;&gt;"),"")</f>
        <v/>
      </c>
      <c r="T145" s="30">
        <f>IF(AND($A145&lt;&gt;"",$B145="Program"),SUMPRODUCT(MAX(($C$6:$C$305=$A145)*($B$6:$B$305="Project")*($D$6:$D$305&lt;&gt;"Proposed")*$I$6:$I$305)),0)</f>
        <v/>
      </c>
      <c r="U145" s="30">
        <f>IF($I145&lt;&gt;"",$I145,IF($T145&gt;0,$T145,""))</f>
        <v/>
      </c>
      <c r="V145" s="28">
        <f>IF(AND($A145&lt;&gt;"",$B145="Program"),SUMIFS($J$6:$J$305,$C$6:$C$305,$A145,$B$6:$B$305,"Project",$D$6:$D$305,"&lt;&gt;Proposed"),0)</f>
        <v/>
      </c>
      <c r="W145" s="28">
        <f>IF(AND($A145&lt;&gt;"",$B145="Program"),COUNTIFS($C$6:$C$305,$A145,$B$6:$B$305,"Project",$D$6:$D$305,"&lt;&gt;Proposed")-COUNTIFS($C$6:$C$305,$A145,$B$6:$B$305,"Project",$D$6:$D$305,"&lt;&gt;Proposed",$J$6:$J$305,"&gt;=0"),0)</f>
        <v/>
      </c>
      <c r="X145" s="28">
        <f>IF(OR($Q145=0,$H145="",$AF145="Sprint"),0,IF(AND($B145="Project",$H145&lt;TODAY()),3,IF($U145="",0,IF($U145&lt;=$H145,1,IF(NETWORKDAYS($H145,$U145)-1&gt;IF($B145="Program",Checks!$B$7,Checks!$B$6),3,2)))))</f>
        <v/>
      </c>
      <c r="Y145" s="28">
        <f>IF(OR($Q145=0,$K145="",$K145=0,$AF145="Sprint"),0,IF(AND($B145="Project",$J145=""),0,IF(IF($B145="Program",$V145,$J145)&gt;$K145*(1+Checks!$B$8),3,IF(IF($B145="Program",$V145,$J145)&gt;$K145,2,IF(AND($B145="Program",OR($W145&gt;0,$V145=0)),0,1)))))</f>
        <v/>
      </c>
      <c r="Z145" s="28">
        <f>IF($A145="",0,IF($C145="Portfolio",1,IF(AND($B145="Project",$C145&lt;&gt;"",$C145&lt;&gt;"Outside the portfolio"),IFERROR(IF(AND(INDEX($B$6:$B$305,MATCH($C145,$A$6:$A$305,0))="Program",INDEX($C$6:$C$305,MATCH($C145,$A$6:$A$305,0))="Portfolio"),1,0),0),0)))</f>
        <v/>
      </c>
      <c r="AA145" s="28">
        <f>IF(AND($A145&lt;&gt;"",$E145="",OR($Q145=1,$D145="Proposed")),1,0)</f>
        <v/>
      </c>
      <c r="AB145" s="28">
        <f>IF(AND($A145&lt;&gt;"",$B145="Program",$F145="",$Q145=1),1,0)</f>
        <v/>
      </c>
      <c r="AC145" s="28">
        <f>IF(OR($A145="",$D145="Completed",$D145="Terminated"),0,IF($C145="",1,IF($C145="Portfolio",0,IF($C145="Outside the portfolio",IF($Q145=1,2,0),IF($B145="Project",IF(IFERROR(INDEX($B$6:$B$305,MATCH($C145,$A$6:$A$305,0)),"")="Program",0,1),1)))))</f>
        <v/>
      </c>
      <c r="AD145" s="28">
        <f>IF(AND($A145&lt;&gt;"",OR($M145="■ Red",$M145="◧ Amber"),$L145=""),1,0)</f>
        <v/>
      </c>
      <c r="AE145" s="28">
        <f>$AA145+$AB145+IF($AC145&gt;0,1,0)+$AD145+$AG145+$AH145</f>
        <v/>
      </c>
      <c r="AF145" s="25" t="n"/>
      <c r="AG145" s="28">
        <f>IF(AND($A145&lt;&gt;"",$K145&lt;&gt;"",$C145&lt;&gt;"Portfolio",$D145&lt;&gt;"Completed",$D145&lt;&gt;"Terminated"),1,0)</f>
        <v/>
      </c>
      <c r="AH145" s="28">
        <f>IF(AND($A145&lt;&gt;"",COUNTIF($A$6:$A$305,$A145)&gt;1),1,0)</f>
        <v/>
      </c>
      <c r="AI145" s="28">
        <f>IF(AND($A145&lt;&gt;"",$C145="Portfolio"),COUNTIFS($C$6:$C145,"Portfolio",$A$6:$A145,"&lt;&gt;"),"")</f>
        <v/>
      </c>
    </row>
    <row r="146">
      <c r="A146" s="25" t="n"/>
      <c r="B146" s="25" t="n"/>
      <c r="C146" s="25" t="n"/>
      <c r="D146" s="25" t="n"/>
      <c r="E146" s="25" t="n"/>
      <c r="F146" s="25" t="n"/>
      <c r="G146" s="25" t="n"/>
      <c r="H146" s="26" t="n"/>
      <c r="I146" s="26" t="n"/>
      <c r="J146" s="27" t="n"/>
      <c r="K146" s="27" t="n"/>
      <c r="L146" s="23" t="n"/>
      <c r="M146" s="28">
        <f>IF($A146="","",IF($D146="","Not read",IF($Q146=0,"Not counted",IF(MAX($X146,$Y146)=3,"■ Red",IF(MAX($X146,$Y146)=2,"◧ Amber",IF(MAX($X146,$Y146)=1,"□ On track","Not read"))))))</f>
        <v/>
      </c>
      <c r="N146" s="28">
        <f>IF(OR($A146="",$B146&lt;&gt;"Program"),"","■ "&amp;COUNTIFS($C$6:$C$305,$A146,$M$6:$M$305,"■ Red")&amp;" Red, ◧ "&amp;COUNTIFS($C$6:$C$305,$A146,$M$6:$M$305,"◧ Amber")&amp;" Amber")</f>
        <v/>
      </c>
      <c r="O146" s="29">
        <f>IF(OR($A146="",$E146=""),"",COUNTIFS($E$6:$E$305,$E146,$D$6:$D$305,"Active")+COUNTIFS($E$6:$E$305,$E146,$D$6:$D$305,"Paused"))</f>
        <v/>
      </c>
      <c r="P146" s="28">
        <f>IF($A146="","",IF($AE146=0,"○ Clear",IF($AA146=1,"△ No owner",IF($AC146=1,"△ Check Sits under",IF($AC146=2,"△ Outside the portfolio",IF($AB146=1,"△ No sponsor",IF($AH146=1,"△ Name used twice",IF($AG146=1,"△ Budget only counts under Portfolio","△ No variance note"))))))&amp;IF($AE146&gt;1," (+"&amp;($AE146-1)&amp;" more)","")))</f>
        <v/>
      </c>
      <c r="Q146" s="28">
        <f>IF(AND($A146&lt;&gt;"",OR($D146="Active",$D146="Paused")),1,0)</f>
        <v/>
      </c>
      <c r="R146" s="28">
        <f>IFERROR(INDEX($A$6:$A$305,MATCH(139,$S$6:$S$305,0)),"")</f>
        <v/>
      </c>
      <c r="S146" s="28">
        <f>IF(AND($A146&lt;&gt;"",$B146="Program"),COUNTIFS($B$6:$B146,"Program",$A$6:$A146,"&lt;&gt;"),"")</f>
        <v/>
      </c>
      <c r="T146" s="30">
        <f>IF(AND($A146&lt;&gt;"",$B146="Program"),SUMPRODUCT(MAX(($C$6:$C$305=$A146)*($B$6:$B$305="Project")*($D$6:$D$305&lt;&gt;"Proposed")*$I$6:$I$305)),0)</f>
        <v/>
      </c>
      <c r="U146" s="30">
        <f>IF($I146&lt;&gt;"",$I146,IF($T146&gt;0,$T146,""))</f>
        <v/>
      </c>
      <c r="V146" s="28">
        <f>IF(AND($A146&lt;&gt;"",$B146="Program"),SUMIFS($J$6:$J$305,$C$6:$C$305,$A146,$B$6:$B$305,"Project",$D$6:$D$305,"&lt;&gt;Proposed"),0)</f>
        <v/>
      </c>
      <c r="W146" s="28">
        <f>IF(AND($A146&lt;&gt;"",$B146="Program"),COUNTIFS($C$6:$C$305,$A146,$B$6:$B$305,"Project",$D$6:$D$305,"&lt;&gt;Proposed")-COUNTIFS($C$6:$C$305,$A146,$B$6:$B$305,"Project",$D$6:$D$305,"&lt;&gt;Proposed",$J$6:$J$305,"&gt;=0"),0)</f>
        <v/>
      </c>
      <c r="X146" s="28">
        <f>IF(OR($Q146=0,$H146="",$AF146="Sprint"),0,IF(AND($B146="Project",$H146&lt;TODAY()),3,IF($U146="",0,IF($U146&lt;=$H146,1,IF(NETWORKDAYS($H146,$U146)-1&gt;IF($B146="Program",Checks!$B$7,Checks!$B$6),3,2)))))</f>
        <v/>
      </c>
      <c r="Y146" s="28">
        <f>IF(OR($Q146=0,$K146="",$K146=0,$AF146="Sprint"),0,IF(AND($B146="Project",$J146=""),0,IF(IF($B146="Program",$V146,$J146)&gt;$K146*(1+Checks!$B$8),3,IF(IF($B146="Program",$V146,$J146)&gt;$K146,2,IF(AND($B146="Program",OR($W146&gt;0,$V146=0)),0,1)))))</f>
        <v/>
      </c>
      <c r="Z146" s="28">
        <f>IF($A146="",0,IF($C146="Portfolio",1,IF(AND($B146="Project",$C146&lt;&gt;"",$C146&lt;&gt;"Outside the portfolio"),IFERROR(IF(AND(INDEX($B$6:$B$305,MATCH($C146,$A$6:$A$305,0))="Program",INDEX($C$6:$C$305,MATCH($C146,$A$6:$A$305,0))="Portfolio"),1,0),0),0)))</f>
        <v/>
      </c>
      <c r="AA146" s="28">
        <f>IF(AND($A146&lt;&gt;"",$E146="",OR($Q146=1,$D146="Proposed")),1,0)</f>
        <v/>
      </c>
      <c r="AB146" s="28">
        <f>IF(AND($A146&lt;&gt;"",$B146="Program",$F146="",$Q146=1),1,0)</f>
        <v/>
      </c>
      <c r="AC146" s="28">
        <f>IF(OR($A146="",$D146="Completed",$D146="Terminated"),0,IF($C146="",1,IF($C146="Portfolio",0,IF($C146="Outside the portfolio",IF($Q146=1,2,0),IF($B146="Project",IF(IFERROR(INDEX($B$6:$B$305,MATCH($C146,$A$6:$A$305,0)),"")="Program",0,1),1)))))</f>
        <v/>
      </c>
      <c r="AD146" s="28">
        <f>IF(AND($A146&lt;&gt;"",OR($M146="■ Red",$M146="◧ Amber"),$L146=""),1,0)</f>
        <v/>
      </c>
      <c r="AE146" s="28">
        <f>$AA146+$AB146+IF($AC146&gt;0,1,0)+$AD146+$AG146+$AH146</f>
        <v/>
      </c>
      <c r="AF146" s="25" t="n"/>
      <c r="AG146" s="28">
        <f>IF(AND($A146&lt;&gt;"",$K146&lt;&gt;"",$C146&lt;&gt;"Portfolio",$D146&lt;&gt;"Completed",$D146&lt;&gt;"Terminated"),1,0)</f>
        <v/>
      </c>
      <c r="AH146" s="28">
        <f>IF(AND($A146&lt;&gt;"",COUNTIF($A$6:$A$305,$A146)&gt;1),1,0)</f>
        <v/>
      </c>
      <c r="AI146" s="28">
        <f>IF(AND($A146&lt;&gt;"",$C146="Portfolio"),COUNTIFS($C$6:$C146,"Portfolio",$A$6:$A146,"&lt;&gt;"),"")</f>
        <v/>
      </c>
    </row>
    <row r="147">
      <c r="A147" s="25" t="n"/>
      <c r="B147" s="25" t="n"/>
      <c r="C147" s="25" t="n"/>
      <c r="D147" s="25" t="n"/>
      <c r="E147" s="25" t="n"/>
      <c r="F147" s="25" t="n"/>
      <c r="G147" s="25" t="n"/>
      <c r="H147" s="26" t="n"/>
      <c r="I147" s="26" t="n"/>
      <c r="J147" s="27" t="n"/>
      <c r="K147" s="27" t="n"/>
      <c r="L147" s="23" t="n"/>
      <c r="M147" s="28">
        <f>IF($A147="","",IF($D147="","Not read",IF($Q147=0,"Not counted",IF(MAX($X147,$Y147)=3,"■ Red",IF(MAX($X147,$Y147)=2,"◧ Amber",IF(MAX($X147,$Y147)=1,"□ On track","Not read"))))))</f>
        <v/>
      </c>
      <c r="N147" s="28">
        <f>IF(OR($A147="",$B147&lt;&gt;"Program"),"","■ "&amp;COUNTIFS($C$6:$C$305,$A147,$M$6:$M$305,"■ Red")&amp;" Red, ◧ "&amp;COUNTIFS($C$6:$C$305,$A147,$M$6:$M$305,"◧ Amber")&amp;" Amber")</f>
        <v/>
      </c>
      <c r="O147" s="29">
        <f>IF(OR($A147="",$E147=""),"",COUNTIFS($E$6:$E$305,$E147,$D$6:$D$305,"Active")+COUNTIFS($E$6:$E$305,$E147,$D$6:$D$305,"Paused"))</f>
        <v/>
      </c>
      <c r="P147" s="28">
        <f>IF($A147="","",IF($AE147=0,"○ Clear",IF($AA147=1,"△ No owner",IF($AC147=1,"△ Check Sits under",IF($AC147=2,"△ Outside the portfolio",IF($AB147=1,"△ No sponsor",IF($AH147=1,"△ Name used twice",IF($AG147=1,"△ Budget only counts under Portfolio","△ No variance note"))))))&amp;IF($AE147&gt;1," (+"&amp;($AE147-1)&amp;" more)","")))</f>
        <v/>
      </c>
      <c r="Q147" s="28">
        <f>IF(AND($A147&lt;&gt;"",OR($D147="Active",$D147="Paused")),1,0)</f>
        <v/>
      </c>
      <c r="R147" s="28">
        <f>IFERROR(INDEX($A$6:$A$305,MATCH(140,$S$6:$S$305,0)),"")</f>
        <v/>
      </c>
      <c r="S147" s="28">
        <f>IF(AND($A147&lt;&gt;"",$B147="Program"),COUNTIFS($B$6:$B147,"Program",$A$6:$A147,"&lt;&gt;"),"")</f>
        <v/>
      </c>
      <c r="T147" s="30">
        <f>IF(AND($A147&lt;&gt;"",$B147="Program"),SUMPRODUCT(MAX(($C$6:$C$305=$A147)*($B$6:$B$305="Project")*($D$6:$D$305&lt;&gt;"Proposed")*$I$6:$I$305)),0)</f>
        <v/>
      </c>
      <c r="U147" s="30">
        <f>IF($I147&lt;&gt;"",$I147,IF($T147&gt;0,$T147,""))</f>
        <v/>
      </c>
      <c r="V147" s="28">
        <f>IF(AND($A147&lt;&gt;"",$B147="Program"),SUMIFS($J$6:$J$305,$C$6:$C$305,$A147,$B$6:$B$305,"Project",$D$6:$D$305,"&lt;&gt;Proposed"),0)</f>
        <v/>
      </c>
      <c r="W147" s="28">
        <f>IF(AND($A147&lt;&gt;"",$B147="Program"),COUNTIFS($C$6:$C$305,$A147,$B$6:$B$305,"Project",$D$6:$D$305,"&lt;&gt;Proposed")-COUNTIFS($C$6:$C$305,$A147,$B$6:$B$305,"Project",$D$6:$D$305,"&lt;&gt;Proposed",$J$6:$J$305,"&gt;=0"),0)</f>
        <v/>
      </c>
      <c r="X147" s="28">
        <f>IF(OR($Q147=0,$H147="",$AF147="Sprint"),0,IF(AND($B147="Project",$H147&lt;TODAY()),3,IF($U147="",0,IF($U147&lt;=$H147,1,IF(NETWORKDAYS($H147,$U147)-1&gt;IF($B147="Program",Checks!$B$7,Checks!$B$6),3,2)))))</f>
        <v/>
      </c>
      <c r="Y147" s="28">
        <f>IF(OR($Q147=0,$K147="",$K147=0,$AF147="Sprint"),0,IF(AND($B147="Project",$J147=""),0,IF(IF($B147="Program",$V147,$J147)&gt;$K147*(1+Checks!$B$8),3,IF(IF($B147="Program",$V147,$J147)&gt;$K147,2,IF(AND($B147="Program",OR($W147&gt;0,$V147=0)),0,1)))))</f>
        <v/>
      </c>
      <c r="Z147" s="28">
        <f>IF($A147="",0,IF($C147="Portfolio",1,IF(AND($B147="Project",$C147&lt;&gt;"",$C147&lt;&gt;"Outside the portfolio"),IFERROR(IF(AND(INDEX($B$6:$B$305,MATCH($C147,$A$6:$A$305,0))="Program",INDEX($C$6:$C$305,MATCH($C147,$A$6:$A$305,0))="Portfolio"),1,0),0),0)))</f>
        <v/>
      </c>
      <c r="AA147" s="28">
        <f>IF(AND($A147&lt;&gt;"",$E147="",OR($Q147=1,$D147="Proposed")),1,0)</f>
        <v/>
      </c>
      <c r="AB147" s="28">
        <f>IF(AND($A147&lt;&gt;"",$B147="Program",$F147="",$Q147=1),1,0)</f>
        <v/>
      </c>
      <c r="AC147" s="28">
        <f>IF(OR($A147="",$D147="Completed",$D147="Terminated"),0,IF($C147="",1,IF($C147="Portfolio",0,IF($C147="Outside the portfolio",IF($Q147=1,2,0),IF($B147="Project",IF(IFERROR(INDEX($B$6:$B$305,MATCH($C147,$A$6:$A$305,0)),"")="Program",0,1),1)))))</f>
        <v/>
      </c>
      <c r="AD147" s="28">
        <f>IF(AND($A147&lt;&gt;"",OR($M147="■ Red",$M147="◧ Amber"),$L147=""),1,0)</f>
        <v/>
      </c>
      <c r="AE147" s="28">
        <f>$AA147+$AB147+IF($AC147&gt;0,1,0)+$AD147+$AG147+$AH147</f>
        <v/>
      </c>
      <c r="AF147" s="25" t="n"/>
      <c r="AG147" s="28">
        <f>IF(AND($A147&lt;&gt;"",$K147&lt;&gt;"",$C147&lt;&gt;"Portfolio",$D147&lt;&gt;"Completed",$D147&lt;&gt;"Terminated"),1,0)</f>
        <v/>
      </c>
      <c r="AH147" s="28">
        <f>IF(AND($A147&lt;&gt;"",COUNTIF($A$6:$A$305,$A147)&gt;1),1,0)</f>
        <v/>
      </c>
      <c r="AI147" s="28">
        <f>IF(AND($A147&lt;&gt;"",$C147="Portfolio"),COUNTIFS($C$6:$C147,"Portfolio",$A$6:$A147,"&lt;&gt;"),"")</f>
        <v/>
      </c>
    </row>
    <row r="148">
      <c r="A148" s="25" t="n"/>
      <c r="B148" s="25" t="n"/>
      <c r="C148" s="25" t="n"/>
      <c r="D148" s="25" t="n"/>
      <c r="E148" s="25" t="n"/>
      <c r="F148" s="25" t="n"/>
      <c r="G148" s="25" t="n"/>
      <c r="H148" s="26" t="n"/>
      <c r="I148" s="26" t="n"/>
      <c r="J148" s="27" t="n"/>
      <c r="K148" s="27" t="n"/>
      <c r="L148" s="23" t="n"/>
      <c r="M148" s="28">
        <f>IF($A148="","",IF($D148="","Not read",IF($Q148=0,"Not counted",IF(MAX($X148,$Y148)=3,"■ Red",IF(MAX($X148,$Y148)=2,"◧ Amber",IF(MAX($X148,$Y148)=1,"□ On track","Not read"))))))</f>
        <v/>
      </c>
      <c r="N148" s="28">
        <f>IF(OR($A148="",$B148&lt;&gt;"Program"),"","■ "&amp;COUNTIFS($C$6:$C$305,$A148,$M$6:$M$305,"■ Red")&amp;" Red, ◧ "&amp;COUNTIFS($C$6:$C$305,$A148,$M$6:$M$305,"◧ Amber")&amp;" Amber")</f>
        <v/>
      </c>
      <c r="O148" s="29">
        <f>IF(OR($A148="",$E148=""),"",COUNTIFS($E$6:$E$305,$E148,$D$6:$D$305,"Active")+COUNTIFS($E$6:$E$305,$E148,$D$6:$D$305,"Paused"))</f>
        <v/>
      </c>
      <c r="P148" s="28">
        <f>IF($A148="","",IF($AE148=0,"○ Clear",IF($AA148=1,"△ No owner",IF($AC148=1,"△ Check Sits under",IF($AC148=2,"△ Outside the portfolio",IF($AB148=1,"△ No sponsor",IF($AH148=1,"△ Name used twice",IF($AG148=1,"△ Budget only counts under Portfolio","△ No variance note"))))))&amp;IF($AE148&gt;1," (+"&amp;($AE148-1)&amp;" more)","")))</f>
        <v/>
      </c>
      <c r="Q148" s="28">
        <f>IF(AND($A148&lt;&gt;"",OR($D148="Active",$D148="Paused")),1,0)</f>
        <v/>
      </c>
      <c r="R148" s="28">
        <f>IFERROR(INDEX($A$6:$A$305,MATCH(141,$S$6:$S$305,0)),"")</f>
        <v/>
      </c>
      <c r="S148" s="28">
        <f>IF(AND($A148&lt;&gt;"",$B148="Program"),COUNTIFS($B$6:$B148,"Program",$A$6:$A148,"&lt;&gt;"),"")</f>
        <v/>
      </c>
      <c r="T148" s="30">
        <f>IF(AND($A148&lt;&gt;"",$B148="Program"),SUMPRODUCT(MAX(($C$6:$C$305=$A148)*($B$6:$B$305="Project")*($D$6:$D$305&lt;&gt;"Proposed")*$I$6:$I$305)),0)</f>
        <v/>
      </c>
      <c r="U148" s="30">
        <f>IF($I148&lt;&gt;"",$I148,IF($T148&gt;0,$T148,""))</f>
        <v/>
      </c>
      <c r="V148" s="28">
        <f>IF(AND($A148&lt;&gt;"",$B148="Program"),SUMIFS($J$6:$J$305,$C$6:$C$305,$A148,$B$6:$B$305,"Project",$D$6:$D$305,"&lt;&gt;Proposed"),0)</f>
        <v/>
      </c>
      <c r="W148" s="28">
        <f>IF(AND($A148&lt;&gt;"",$B148="Program"),COUNTIFS($C$6:$C$305,$A148,$B$6:$B$305,"Project",$D$6:$D$305,"&lt;&gt;Proposed")-COUNTIFS($C$6:$C$305,$A148,$B$6:$B$305,"Project",$D$6:$D$305,"&lt;&gt;Proposed",$J$6:$J$305,"&gt;=0"),0)</f>
        <v/>
      </c>
      <c r="X148" s="28">
        <f>IF(OR($Q148=0,$H148="",$AF148="Sprint"),0,IF(AND($B148="Project",$H148&lt;TODAY()),3,IF($U148="",0,IF($U148&lt;=$H148,1,IF(NETWORKDAYS($H148,$U148)-1&gt;IF($B148="Program",Checks!$B$7,Checks!$B$6),3,2)))))</f>
        <v/>
      </c>
      <c r="Y148" s="28">
        <f>IF(OR($Q148=0,$K148="",$K148=0,$AF148="Sprint"),0,IF(AND($B148="Project",$J148=""),0,IF(IF($B148="Program",$V148,$J148)&gt;$K148*(1+Checks!$B$8),3,IF(IF($B148="Program",$V148,$J148)&gt;$K148,2,IF(AND($B148="Program",OR($W148&gt;0,$V148=0)),0,1)))))</f>
        <v/>
      </c>
      <c r="Z148" s="28">
        <f>IF($A148="",0,IF($C148="Portfolio",1,IF(AND($B148="Project",$C148&lt;&gt;"",$C148&lt;&gt;"Outside the portfolio"),IFERROR(IF(AND(INDEX($B$6:$B$305,MATCH($C148,$A$6:$A$305,0))="Program",INDEX($C$6:$C$305,MATCH($C148,$A$6:$A$305,0))="Portfolio"),1,0),0),0)))</f>
        <v/>
      </c>
      <c r="AA148" s="28">
        <f>IF(AND($A148&lt;&gt;"",$E148="",OR($Q148=1,$D148="Proposed")),1,0)</f>
        <v/>
      </c>
      <c r="AB148" s="28">
        <f>IF(AND($A148&lt;&gt;"",$B148="Program",$F148="",$Q148=1),1,0)</f>
        <v/>
      </c>
      <c r="AC148" s="28">
        <f>IF(OR($A148="",$D148="Completed",$D148="Terminated"),0,IF($C148="",1,IF($C148="Portfolio",0,IF($C148="Outside the portfolio",IF($Q148=1,2,0),IF($B148="Project",IF(IFERROR(INDEX($B$6:$B$305,MATCH($C148,$A$6:$A$305,0)),"")="Program",0,1),1)))))</f>
        <v/>
      </c>
      <c r="AD148" s="28">
        <f>IF(AND($A148&lt;&gt;"",OR($M148="■ Red",$M148="◧ Amber"),$L148=""),1,0)</f>
        <v/>
      </c>
      <c r="AE148" s="28">
        <f>$AA148+$AB148+IF($AC148&gt;0,1,0)+$AD148+$AG148+$AH148</f>
        <v/>
      </c>
      <c r="AF148" s="25" t="n"/>
      <c r="AG148" s="28">
        <f>IF(AND($A148&lt;&gt;"",$K148&lt;&gt;"",$C148&lt;&gt;"Portfolio",$D148&lt;&gt;"Completed",$D148&lt;&gt;"Terminated"),1,0)</f>
        <v/>
      </c>
      <c r="AH148" s="28">
        <f>IF(AND($A148&lt;&gt;"",COUNTIF($A$6:$A$305,$A148)&gt;1),1,0)</f>
        <v/>
      </c>
      <c r="AI148" s="28">
        <f>IF(AND($A148&lt;&gt;"",$C148="Portfolio"),COUNTIFS($C$6:$C148,"Portfolio",$A$6:$A148,"&lt;&gt;"),"")</f>
        <v/>
      </c>
    </row>
    <row r="149">
      <c r="A149" s="25" t="n"/>
      <c r="B149" s="25" t="n"/>
      <c r="C149" s="25" t="n"/>
      <c r="D149" s="25" t="n"/>
      <c r="E149" s="25" t="n"/>
      <c r="F149" s="25" t="n"/>
      <c r="G149" s="25" t="n"/>
      <c r="H149" s="26" t="n"/>
      <c r="I149" s="26" t="n"/>
      <c r="J149" s="27" t="n"/>
      <c r="K149" s="27" t="n"/>
      <c r="L149" s="23" t="n"/>
      <c r="M149" s="28">
        <f>IF($A149="","",IF($D149="","Not read",IF($Q149=0,"Not counted",IF(MAX($X149,$Y149)=3,"■ Red",IF(MAX($X149,$Y149)=2,"◧ Amber",IF(MAX($X149,$Y149)=1,"□ On track","Not read"))))))</f>
        <v/>
      </c>
      <c r="N149" s="28">
        <f>IF(OR($A149="",$B149&lt;&gt;"Program"),"","■ "&amp;COUNTIFS($C$6:$C$305,$A149,$M$6:$M$305,"■ Red")&amp;" Red, ◧ "&amp;COUNTIFS($C$6:$C$305,$A149,$M$6:$M$305,"◧ Amber")&amp;" Amber")</f>
        <v/>
      </c>
      <c r="O149" s="29">
        <f>IF(OR($A149="",$E149=""),"",COUNTIFS($E$6:$E$305,$E149,$D$6:$D$305,"Active")+COUNTIFS($E$6:$E$305,$E149,$D$6:$D$305,"Paused"))</f>
        <v/>
      </c>
      <c r="P149" s="28">
        <f>IF($A149="","",IF($AE149=0,"○ Clear",IF($AA149=1,"△ No owner",IF($AC149=1,"△ Check Sits under",IF($AC149=2,"△ Outside the portfolio",IF($AB149=1,"△ No sponsor",IF($AH149=1,"△ Name used twice",IF($AG149=1,"△ Budget only counts under Portfolio","△ No variance note"))))))&amp;IF($AE149&gt;1," (+"&amp;($AE149-1)&amp;" more)","")))</f>
        <v/>
      </c>
      <c r="Q149" s="28">
        <f>IF(AND($A149&lt;&gt;"",OR($D149="Active",$D149="Paused")),1,0)</f>
        <v/>
      </c>
      <c r="R149" s="28">
        <f>IFERROR(INDEX($A$6:$A$305,MATCH(142,$S$6:$S$305,0)),"")</f>
        <v/>
      </c>
      <c r="S149" s="28">
        <f>IF(AND($A149&lt;&gt;"",$B149="Program"),COUNTIFS($B$6:$B149,"Program",$A$6:$A149,"&lt;&gt;"),"")</f>
        <v/>
      </c>
      <c r="T149" s="30">
        <f>IF(AND($A149&lt;&gt;"",$B149="Program"),SUMPRODUCT(MAX(($C$6:$C$305=$A149)*($B$6:$B$305="Project")*($D$6:$D$305&lt;&gt;"Proposed")*$I$6:$I$305)),0)</f>
        <v/>
      </c>
      <c r="U149" s="30">
        <f>IF($I149&lt;&gt;"",$I149,IF($T149&gt;0,$T149,""))</f>
        <v/>
      </c>
      <c r="V149" s="28">
        <f>IF(AND($A149&lt;&gt;"",$B149="Program"),SUMIFS($J$6:$J$305,$C$6:$C$305,$A149,$B$6:$B$305,"Project",$D$6:$D$305,"&lt;&gt;Proposed"),0)</f>
        <v/>
      </c>
      <c r="W149" s="28">
        <f>IF(AND($A149&lt;&gt;"",$B149="Program"),COUNTIFS($C$6:$C$305,$A149,$B$6:$B$305,"Project",$D$6:$D$305,"&lt;&gt;Proposed")-COUNTIFS($C$6:$C$305,$A149,$B$6:$B$305,"Project",$D$6:$D$305,"&lt;&gt;Proposed",$J$6:$J$305,"&gt;=0"),0)</f>
        <v/>
      </c>
      <c r="X149" s="28">
        <f>IF(OR($Q149=0,$H149="",$AF149="Sprint"),0,IF(AND($B149="Project",$H149&lt;TODAY()),3,IF($U149="",0,IF($U149&lt;=$H149,1,IF(NETWORKDAYS($H149,$U149)-1&gt;IF($B149="Program",Checks!$B$7,Checks!$B$6),3,2)))))</f>
        <v/>
      </c>
      <c r="Y149" s="28">
        <f>IF(OR($Q149=0,$K149="",$K149=0,$AF149="Sprint"),0,IF(AND($B149="Project",$J149=""),0,IF(IF($B149="Program",$V149,$J149)&gt;$K149*(1+Checks!$B$8),3,IF(IF($B149="Program",$V149,$J149)&gt;$K149,2,IF(AND($B149="Program",OR($W149&gt;0,$V149=0)),0,1)))))</f>
        <v/>
      </c>
      <c r="Z149" s="28">
        <f>IF($A149="",0,IF($C149="Portfolio",1,IF(AND($B149="Project",$C149&lt;&gt;"",$C149&lt;&gt;"Outside the portfolio"),IFERROR(IF(AND(INDEX($B$6:$B$305,MATCH($C149,$A$6:$A$305,0))="Program",INDEX($C$6:$C$305,MATCH($C149,$A$6:$A$305,0))="Portfolio"),1,0),0),0)))</f>
        <v/>
      </c>
      <c r="AA149" s="28">
        <f>IF(AND($A149&lt;&gt;"",$E149="",OR($Q149=1,$D149="Proposed")),1,0)</f>
        <v/>
      </c>
      <c r="AB149" s="28">
        <f>IF(AND($A149&lt;&gt;"",$B149="Program",$F149="",$Q149=1),1,0)</f>
        <v/>
      </c>
      <c r="AC149" s="28">
        <f>IF(OR($A149="",$D149="Completed",$D149="Terminated"),0,IF($C149="",1,IF($C149="Portfolio",0,IF($C149="Outside the portfolio",IF($Q149=1,2,0),IF($B149="Project",IF(IFERROR(INDEX($B$6:$B$305,MATCH($C149,$A$6:$A$305,0)),"")="Program",0,1),1)))))</f>
        <v/>
      </c>
      <c r="AD149" s="28">
        <f>IF(AND($A149&lt;&gt;"",OR($M149="■ Red",$M149="◧ Amber"),$L149=""),1,0)</f>
        <v/>
      </c>
      <c r="AE149" s="28">
        <f>$AA149+$AB149+IF($AC149&gt;0,1,0)+$AD149+$AG149+$AH149</f>
        <v/>
      </c>
      <c r="AF149" s="25" t="n"/>
      <c r="AG149" s="28">
        <f>IF(AND($A149&lt;&gt;"",$K149&lt;&gt;"",$C149&lt;&gt;"Portfolio",$D149&lt;&gt;"Completed",$D149&lt;&gt;"Terminated"),1,0)</f>
        <v/>
      </c>
      <c r="AH149" s="28">
        <f>IF(AND($A149&lt;&gt;"",COUNTIF($A$6:$A$305,$A149)&gt;1),1,0)</f>
        <v/>
      </c>
      <c r="AI149" s="28">
        <f>IF(AND($A149&lt;&gt;"",$C149="Portfolio"),COUNTIFS($C$6:$C149,"Portfolio",$A$6:$A149,"&lt;&gt;"),"")</f>
        <v/>
      </c>
    </row>
    <row r="150">
      <c r="A150" s="25" t="n"/>
      <c r="B150" s="25" t="n"/>
      <c r="C150" s="25" t="n"/>
      <c r="D150" s="25" t="n"/>
      <c r="E150" s="25" t="n"/>
      <c r="F150" s="25" t="n"/>
      <c r="G150" s="25" t="n"/>
      <c r="H150" s="26" t="n"/>
      <c r="I150" s="26" t="n"/>
      <c r="J150" s="27" t="n"/>
      <c r="K150" s="27" t="n"/>
      <c r="L150" s="23" t="n"/>
      <c r="M150" s="28">
        <f>IF($A150="","",IF($D150="","Not read",IF($Q150=0,"Not counted",IF(MAX($X150,$Y150)=3,"■ Red",IF(MAX($X150,$Y150)=2,"◧ Amber",IF(MAX($X150,$Y150)=1,"□ On track","Not read"))))))</f>
        <v/>
      </c>
      <c r="N150" s="28">
        <f>IF(OR($A150="",$B150&lt;&gt;"Program"),"","■ "&amp;COUNTIFS($C$6:$C$305,$A150,$M$6:$M$305,"■ Red")&amp;" Red, ◧ "&amp;COUNTIFS($C$6:$C$305,$A150,$M$6:$M$305,"◧ Amber")&amp;" Amber")</f>
        <v/>
      </c>
      <c r="O150" s="29">
        <f>IF(OR($A150="",$E150=""),"",COUNTIFS($E$6:$E$305,$E150,$D$6:$D$305,"Active")+COUNTIFS($E$6:$E$305,$E150,$D$6:$D$305,"Paused"))</f>
        <v/>
      </c>
      <c r="P150" s="28">
        <f>IF($A150="","",IF($AE150=0,"○ Clear",IF($AA150=1,"△ No owner",IF($AC150=1,"△ Check Sits under",IF($AC150=2,"△ Outside the portfolio",IF($AB150=1,"△ No sponsor",IF($AH150=1,"△ Name used twice",IF($AG150=1,"△ Budget only counts under Portfolio","△ No variance note"))))))&amp;IF($AE150&gt;1," (+"&amp;($AE150-1)&amp;" more)","")))</f>
        <v/>
      </c>
      <c r="Q150" s="28">
        <f>IF(AND($A150&lt;&gt;"",OR($D150="Active",$D150="Paused")),1,0)</f>
        <v/>
      </c>
      <c r="R150" s="28">
        <f>IFERROR(INDEX($A$6:$A$305,MATCH(143,$S$6:$S$305,0)),"")</f>
        <v/>
      </c>
      <c r="S150" s="28">
        <f>IF(AND($A150&lt;&gt;"",$B150="Program"),COUNTIFS($B$6:$B150,"Program",$A$6:$A150,"&lt;&gt;"),"")</f>
        <v/>
      </c>
      <c r="T150" s="30">
        <f>IF(AND($A150&lt;&gt;"",$B150="Program"),SUMPRODUCT(MAX(($C$6:$C$305=$A150)*($B$6:$B$305="Project")*($D$6:$D$305&lt;&gt;"Proposed")*$I$6:$I$305)),0)</f>
        <v/>
      </c>
      <c r="U150" s="30">
        <f>IF($I150&lt;&gt;"",$I150,IF($T150&gt;0,$T150,""))</f>
        <v/>
      </c>
      <c r="V150" s="28">
        <f>IF(AND($A150&lt;&gt;"",$B150="Program"),SUMIFS($J$6:$J$305,$C$6:$C$305,$A150,$B$6:$B$305,"Project",$D$6:$D$305,"&lt;&gt;Proposed"),0)</f>
        <v/>
      </c>
      <c r="W150" s="28">
        <f>IF(AND($A150&lt;&gt;"",$B150="Program"),COUNTIFS($C$6:$C$305,$A150,$B$6:$B$305,"Project",$D$6:$D$305,"&lt;&gt;Proposed")-COUNTIFS($C$6:$C$305,$A150,$B$6:$B$305,"Project",$D$6:$D$305,"&lt;&gt;Proposed",$J$6:$J$305,"&gt;=0"),0)</f>
        <v/>
      </c>
      <c r="X150" s="28">
        <f>IF(OR($Q150=0,$H150="",$AF150="Sprint"),0,IF(AND($B150="Project",$H150&lt;TODAY()),3,IF($U150="",0,IF($U150&lt;=$H150,1,IF(NETWORKDAYS($H150,$U150)-1&gt;IF($B150="Program",Checks!$B$7,Checks!$B$6),3,2)))))</f>
        <v/>
      </c>
      <c r="Y150" s="28">
        <f>IF(OR($Q150=0,$K150="",$K150=0,$AF150="Sprint"),0,IF(AND($B150="Project",$J150=""),0,IF(IF($B150="Program",$V150,$J150)&gt;$K150*(1+Checks!$B$8),3,IF(IF($B150="Program",$V150,$J150)&gt;$K150,2,IF(AND($B150="Program",OR($W150&gt;0,$V150=0)),0,1)))))</f>
        <v/>
      </c>
      <c r="Z150" s="28">
        <f>IF($A150="",0,IF($C150="Portfolio",1,IF(AND($B150="Project",$C150&lt;&gt;"",$C150&lt;&gt;"Outside the portfolio"),IFERROR(IF(AND(INDEX($B$6:$B$305,MATCH($C150,$A$6:$A$305,0))="Program",INDEX($C$6:$C$305,MATCH($C150,$A$6:$A$305,0))="Portfolio"),1,0),0),0)))</f>
        <v/>
      </c>
      <c r="AA150" s="28">
        <f>IF(AND($A150&lt;&gt;"",$E150="",OR($Q150=1,$D150="Proposed")),1,0)</f>
        <v/>
      </c>
      <c r="AB150" s="28">
        <f>IF(AND($A150&lt;&gt;"",$B150="Program",$F150="",$Q150=1),1,0)</f>
        <v/>
      </c>
      <c r="AC150" s="28">
        <f>IF(OR($A150="",$D150="Completed",$D150="Terminated"),0,IF($C150="",1,IF($C150="Portfolio",0,IF($C150="Outside the portfolio",IF($Q150=1,2,0),IF($B150="Project",IF(IFERROR(INDEX($B$6:$B$305,MATCH($C150,$A$6:$A$305,0)),"")="Program",0,1),1)))))</f>
        <v/>
      </c>
      <c r="AD150" s="28">
        <f>IF(AND($A150&lt;&gt;"",OR($M150="■ Red",$M150="◧ Amber"),$L150=""),1,0)</f>
        <v/>
      </c>
      <c r="AE150" s="28">
        <f>$AA150+$AB150+IF($AC150&gt;0,1,0)+$AD150+$AG150+$AH150</f>
        <v/>
      </c>
      <c r="AF150" s="25" t="n"/>
      <c r="AG150" s="28">
        <f>IF(AND($A150&lt;&gt;"",$K150&lt;&gt;"",$C150&lt;&gt;"Portfolio",$D150&lt;&gt;"Completed",$D150&lt;&gt;"Terminated"),1,0)</f>
        <v/>
      </c>
      <c r="AH150" s="28">
        <f>IF(AND($A150&lt;&gt;"",COUNTIF($A$6:$A$305,$A150)&gt;1),1,0)</f>
        <v/>
      </c>
      <c r="AI150" s="28">
        <f>IF(AND($A150&lt;&gt;"",$C150="Portfolio"),COUNTIFS($C$6:$C150,"Portfolio",$A$6:$A150,"&lt;&gt;"),"")</f>
        <v/>
      </c>
    </row>
    <row r="151">
      <c r="A151" s="25" t="n"/>
      <c r="B151" s="25" t="n"/>
      <c r="C151" s="25" t="n"/>
      <c r="D151" s="25" t="n"/>
      <c r="E151" s="25" t="n"/>
      <c r="F151" s="25" t="n"/>
      <c r="G151" s="25" t="n"/>
      <c r="H151" s="26" t="n"/>
      <c r="I151" s="26" t="n"/>
      <c r="J151" s="27" t="n"/>
      <c r="K151" s="27" t="n"/>
      <c r="L151" s="23" t="n"/>
      <c r="M151" s="28">
        <f>IF($A151="","",IF($D151="","Not read",IF($Q151=0,"Not counted",IF(MAX($X151,$Y151)=3,"■ Red",IF(MAX($X151,$Y151)=2,"◧ Amber",IF(MAX($X151,$Y151)=1,"□ On track","Not read"))))))</f>
        <v/>
      </c>
      <c r="N151" s="28">
        <f>IF(OR($A151="",$B151&lt;&gt;"Program"),"","■ "&amp;COUNTIFS($C$6:$C$305,$A151,$M$6:$M$305,"■ Red")&amp;" Red, ◧ "&amp;COUNTIFS($C$6:$C$305,$A151,$M$6:$M$305,"◧ Amber")&amp;" Amber")</f>
        <v/>
      </c>
      <c r="O151" s="29">
        <f>IF(OR($A151="",$E151=""),"",COUNTIFS($E$6:$E$305,$E151,$D$6:$D$305,"Active")+COUNTIFS($E$6:$E$305,$E151,$D$6:$D$305,"Paused"))</f>
        <v/>
      </c>
      <c r="P151" s="28">
        <f>IF($A151="","",IF($AE151=0,"○ Clear",IF($AA151=1,"△ No owner",IF($AC151=1,"△ Check Sits under",IF($AC151=2,"△ Outside the portfolio",IF($AB151=1,"△ No sponsor",IF($AH151=1,"△ Name used twice",IF($AG151=1,"△ Budget only counts under Portfolio","△ No variance note"))))))&amp;IF($AE151&gt;1," (+"&amp;($AE151-1)&amp;" more)","")))</f>
        <v/>
      </c>
      <c r="Q151" s="28">
        <f>IF(AND($A151&lt;&gt;"",OR($D151="Active",$D151="Paused")),1,0)</f>
        <v/>
      </c>
      <c r="R151" s="28">
        <f>IFERROR(INDEX($A$6:$A$305,MATCH(144,$S$6:$S$305,0)),"")</f>
        <v/>
      </c>
      <c r="S151" s="28">
        <f>IF(AND($A151&lt;&gt;"",$B151="Program"),COUNTIFS($B$6:$B151,"Program",$A$6:$A151,"&lt;&gt;"),"")</f>
        <v/>
      </c>
      <c r="T151" s="30">
        <f>IF(AND($A151&lt;&gt;"",$B151="Program"),SUMPRODUCT(MAX(($C$6:$C$305=$A151)*($B$6:$B$305="Project")*($D$6:$D$305&lt;&gt;"Proposed")*$I$6:$I$305)),0)</f>
        <v/>
      </c>
      <c r="U151" s="30">
        <f>IF($I151&lt;&gt;"",$I151,IF($T151&gt;0,$T151,""))</f>
        <v/>
      </c>
      <c r="V151" s="28">
        <f>IF(AND($A151&lt;&gt;"",$B151="Program"),SUMIFS($J$6:$J$305,$C$6:$C$305,$A151,$B$6:$B$305,"Project",$D$6:$D$305,"&lt;&gt;Proposed"),0)</f>
        <v/>
      </c>
      <c r="W151" s="28">
        <f>IF(AND($A151&lt;&gt;"",$B151="Program"),COUNTIFS($C$6:$C$305,$A151,$B$6:$B$305,"Project",$D$6:$D$305,"&lt;&gt;Proposed")-COUNTIFS($C$6:$C$305,$A151,$B$6:$B$305,"Project",$D$6:$D$305,"&lt;&gt;Proposed",$J$6:$J$305,"&gt;=0"),0)</f>
        <v/>
      </c>
      <c r="X151" s="28">
        <f>IF(OR($Q151=0,$H151="",$AF151="Sprint"),0,IF(AND($B151="Project",$H151&lt;TODAY()),3,IF($U151="",0,IF($U151&lt;=$H151,1,IF(NETWORKDAYS($H151,$U151)-1&gt;IF($B151="Program",Checks!$B$7,Checks!$B$6),3,2)))))</f>
        <v/>
      </c>
      <c r="Y151" s="28">
        <f>IF(OR($Q151=0,$K151="",$K151=0,$AF151="Sprint"),0,IF(AND($B151="Project",$J151=""),0,IF(IF($B151="Program",$V151,$J151)&gt;$K151*(1+Checks!$B$8),3,IF(IF($B151="Program",$V151,$J151)&gt;$K151,2,IF(AND($B151="Program",OR($W151&gt;0,$V151=0)),0,1)))))</f>
        <v/>
      </c>
      <c r="Z151" s="28">
        <f>IF($A151="",0,IF($C151="Portfolio",1,IF(AND($B151="Project",$C151&lt;&gt;"",$C151&lt;&gt;"Outside the portfolio"),IFERROR(IF(AND(INDEX($B$6:$B$305,MATCH($C151,$A$6:$A$305,0))="Program",INDEX($C$6:$C$305,MATCH($C151,$A$6:$A$305,0))="Portfolio"),1,0),0),0)))</f>
        <v/>
      </c>
      <c r="AA151" s="28">
        <f>IF(AND($A151&lt;&gt;"",$E151="",OR($Q151=1,$D151="Proposed")),1,0)</f>
        <v/>
      </c>
      <c r="AB151" s="28">
        <f>IF(AND($A151&lt;&gt;"",$B151="Program",$F151="",$Q151=1),1,0)</f>
        <v/>
      </c>
      <c r="AC151" s="28">
        <f>IF(OR($A151="",$D151="Completed",$D151="Terminated"),0,IF($C151="",1,IF($C151="Portfolio",0,IF($C151="Outside the portfolio",IF($Q151=1,2,0),IF($B151="Project",IF(IFERROR(INDEX($B$6:$B$305,MATCH($C151,$A$6:$A$305,0)),"")="Program",0,1),1)))))</f>
        <v/>
      </c>
      <c r="AD151" s="28">
        <f>IF(AND($A151&lt;&gt;"",OR($M151="■ Red",$M151="◧ Amber"),$L151=""),1,0)</f>
        <v/>
      </c>
      <c r="AE151" s="28">
        <f>$AA151+$AB151+IF($AC151&gt;0,1,0)+$AD151+$AG151+$AH151</f>
        <v/>
      </c>
      <c r="AF151" s="25" t="n"/>
      <c r="AG151" s="28">
        <f>IF(AND($A151&lt;&gt;"",$K151&lt;&gt;"",$C151&lt;&gt;"Portfolio",$D151&lt;&gt;"Completed",$D151&lt;&gt;"Terminated"),1,0)</f>
        <v/>
      </c>
      <c r="AH151" s="28">
        <f>IF(AND($A151&lt;&gt;"",COUNTIF($A$6:$A$305,$A151)&gt;1),1,0)</f>
        <v/>
      </c>
      <c r="AI151" s="28">
        <f>IF(AND($A151&lt;&gt;"",$C151="Portfolio"),COUNTIFS($C$6:$C151,"Portfolio",$A$6:$A151,"&lt;&gt;"),"")</f>
        <v/>
      </c>
    </row>
    <row r="152">
      <c r="A152" s="25" t="n"/>
      <c r="B152" s="25" t="n"/>
      <c r="C152" s="25" t="n"/>
      <c r="D152" s="25" t="n"/>
      <c r="E152" s="25" t="n"/>
      <c r="F152" s="25" t="n"/>
      <c r="G152" s="25" t="n"/>
      <c r="H152" s="26" t="n"/>
      <c r="I152" s="26" t="n"/>
      <c r="J152" s="27" t="n"/>
      <c r="K152" s="27" t="n"/>
      <c r="L152" s="23" t="n"/>
      <c r="M152" s="28">
        <f>IF($A152="","",IF($D152="","Not read",IF($Q152=0,"Not counted",IF(MAX($X152,$Y152)=3,"■ Red",IF(MAX($X152,$Y152)=2,"◧ Amber",IF(MAX($X152,$Y152)=1,"□ On track","Not read"))))))</f>
        <v/>
      </c>
      <c r="N152" s="28">
        <f>IF(OR($A152="",$B152&lt;&gt;"Program"),"","■ "&amp;COUNTIFS($C$6:$C$305,$A152,$M$6:$M$305,"■ Red")&amp;" Red, ◧ "&amp;COUNTIFS($C$6:$C$305,$A152,$M$6:$M$305,"◧ Amber")&amp;" Amber")</f>
        <v/>
      </c>
      <c r="O152" s="29">
        <f>IF(OR($A152="",$E152=""),"",COUNTIFS($E$6:$E$305,$E152,$D$6:$D$305,"Active")+COUNTIFS($E$6:$E$305,$E152,$D$6:$D$305,"Paused"))</f>
        <v/>
      </c>
      <c r="P152" s="28">
        <f>IF($A152="","",IF($AE152=0,"○ Clear",IF($AA152=1,"△ No owner",IF($AC152=1,"△ Check Sits under",IF($AC152=2,"△ Outside the portfolio",IF($AB152=1,"△ No sponsor",IF($AH152=1,"△ Name used twice",IF($AG152=1,"△ Budget only counts under Portfolio","△ No variance note"))))))&amp;IF($AE152&gt;1," (+"&amp;($AE152-1)&amp;" more)","")))</f>
        <v/>
      </c>
      <c r="Q152" s="28">
        <f>IF(AND($A152&lt;&gt;"",OR($D152="Active",$D152="Paused")),1,0)</f>
        <v/>
      </c>
      <c r="R152" s="28">
        <f>IFERROR(INDEX($A$6:$A$305,MATCH(145,$S$6:$S$305,0)),"")</f>
        <v/>
      </c>
      <c r="S152" s="28">
        <f>IF(AND($A152&lt;&gt;"",$B152="Program"),COUNTIFS($B$6:$B152,"Program",$A$6:$A152,"&lt;&gt;"),"")</f>
        <v/>
      </c>
      <c r="T152" s="30">
        <f>IF(AND($A152&lt;&gt;"",$B152="Program"),SUMPRODUCT(MAX(($C$6:$C$305=$A152)*($B$6:$B$305="Project")*($D$6:$D$305&lt;&gt;"Proposed")*$I$6:$I$305)),0)</f>
        <v/>
      </c>
      <c r="U152" s="30">
        <f>IF($I152&lt;&gt;"",$I152,IF($T152&gt;0,$T152,""))</f>
        <v/>
      </c>
      <c r="V152" s="28">
        <f>IF(AND($A152&lt;&gt;"",$B152="Program"),SUMIFS($J$6:$J$305,$C$6:$C$305,$A152,$B$6:$B$305,"Project",$D$6:$D$305,"&lt;&gt;Proposed"),0)</f>
        <v/>
      </c>
      <c r="W152" s="28">
        <f>IF(AND($A152&lt;&gt;"",$B152="Program"),COUNTIFS($C$6:$C$305,$A152,$B$6:$B$305,"Project",$D$6:$D$305,"&lt;&gt;Proposed")-COUNTIFS($C$6:$C$305,$A152,$B$6:$B$305,"Project",$D$6:$D$305,"&lt;&gt;Proposed",$J$6:$J$305,"&gt;=0"),0)</f>
        <v/>
      </c>
      <c r="X152" s="28">
        <f>IF(OR($Q152=0,$H152="",$AF152="Sprint"),0,IF(AND($B152="Project",$H152&lt;TODAY()),3,IF($U152="",0,IF($U152&lt;=$H152,1,IF(NETWORKDAYS($H152,$U152)-1&gt;IF($B152="Program",Checks!$B$7,Checks!$B$6),3,2)))))</f>
        <v/>
      </c>
      <c r="Y152" s="28">
        <f>IF(OR($Q152=0,$K152="",$K152=0,$AF152="Sprint"),0,IF(AND($B152="Project",$J152=""),0,IF(IF($B152="Program",$V152,$J152)&gt;$K152*(1+Checks!$B$8),3,IF(IF($B152="Program",$V152,$J152)&gt;$K152,2,IF(AND($B152="Program",OR($W152&gt;0,$V152=0)),0,1)))))</f>
        <v/>
      </c>
      <c r="Z152" s="28">
        <f>IF($A152="",0,IF($C152="Portfolio",1,IF(AND($B152="Project",$C152&lt;&gt;"",$C152&lt;&gt;"Outside the portfolio"),IFERROR(IF(AND(INDEX($B$6:$B$305,MATCH($C152,$A$6:$A$305,0))="Program",INDEX($C$6:$C$305,MATCH($C152,$A$6:$A$305,0))="Portfolio"),1,0),0),0)))</f>
        <v/>
      </c>
      <c r="AA152" s="28">
        <f>IF(AND($A152&lt;&gt;"",$E152="",OR($Q152=1,$D152="Proposed")),1,0)</f>
        <v/>
      </c>
      <c r="AB152" s="28">
        <f>IF(AND($A152&lt;&gt;"",$B152="Program",$F152="",$Q152=1),1,0)</f>
        <v/>
      </c>
      <c r="AC152" s="28">
        <f>IF(OR($A152="",$D152="Completed",$D152="Terminated"),0,IF($C152="",1,IF($C152="Portfolio",0,IF($C152="Outside the portfolio",IF($Q152=1,2,0),IF($B152="Project",IF(IFERROR(INDEX($B$6:$B$305,MATCH($C152,$A$6:$A$305,0)),"")="Program",0,1),1)))))</f>
        <v/>
      </c>
      <c r="AD152" s="28">
        <f>IF(AND($A152&lt;&gt;"",OR($M152="■ Red",$M152="◧ Amber"),$L152=""),1,0)</f>
        <v/>
      </c>
      <c r="AE152" s="28">
        <f>$AA152+$AB152+IF($AC152&gt;0,1,0)+$AD152+$AG152+$AH152</f>
        <v/>
      </c>
      <c r="AF152" s="25" t="n"/>
      <c r="AG152" s="28">
        <f>IF(AND($A152&lt;&gt;"",$K152&lt;&gt;"",$C152&lt;&gt;"Portfolio",$D152&lt;&gt;"Completed",$D152&lt;&gt;"Terminated"),1,0)</f>
        <v/>
      </c>
      <c r="AH152" s="28">
        <f>IF(AND($A152&lt;&gt;"",COUNTIF($A$6:$A$305,$A152)&gt;1),1,0)</f>
        <v/>
      </c>
      <c r="AI152" s="28">
        <f>IF(AND($A152&lt;&gt;"",$C152="Portfolio"),COUNTIFS($C$6:$C152,"Portfolio",$A$6:$A152,"&lt;&gt;"),"")</f>
        <v/>
      </c>
    </row>
    <row r="153">
      <c r="A153" s="25" t="n"/>
      <c r="B153" s="25" t="n"/>
      <c r="C153" s="25" t="n"/>
      <c r="D153" s="25" t="n"/>
      <c r="E153" s="25" t="n"/>
      <c r="F153" s="25" t="n"/>
      <c r="G153" s="25" t="n"/>
      <c r="H153" s="26" t="n"/>
      <c r="I153" s="26" t="n"/>
      <c r="J153" s="27" t="n"/>
      <c r="K153" s="27" t="n"/>
      <c r="L153" s="23" t="n"/>
      <c r="M153" s="28">
        <f>IF($A153="","",IF($D153="","Not read",IF($Q153=0,"Not counted",IF(MAX($X153,$Y153)=3,"■ Red",IF(MAX($X153,$Y153)=2,"◧ Amber",IF(MAX($X153,$Y153)=1,"□ On track","Not read"))))))</f>
        <v/>
      </c>
      <c r="N153" s="28">
        <f>IF(OR($A153="",$B153&lt;&gt;"Program"),"","■ "&amp;COUNTIFS($C$6:$C$305,$A153,$M$6:$M$305,"■ Red")&amp;" Red, ◧ "&amp;COUNTIFS($C$6:$C$305,$A153,$M$6:$M$305,"◧ Amber")&amp;" Amber")</f>
        <v/>
      </c>
      <c r="O153" s="29">
        <f>IF(OR($A153="",$E153=""),"",COUNTIFS($E$6:$E$305,$E153,$D$6:$D$305,"Active")+COUNTIFS($E$6:$E$305,$E153,$D$6:$D$305,"Paused"))</f>
        <v/>
      </c>
      <c r="P153" s="28">
        <f>IF($A153="","",IF($AE153=0,"○ Clear",IF($AA153=1,"△ No owner",IF($AC153=1,"△ Check Sits under",IF($AC153=2,"△ Outside the portfolio",IF($AB153=1,"△ No sponsor",IF($AH153=1,"△ Name used twice",IF($AG153=1,"△ Budget only counts under Portfolio","△ No variance note"))))))&amp;IF($AE153&gt;1," (+"&amp;($AE153-1)&amp;" more)","")))</f>
        <v/>
      </c>
      <c r="Q153" s="28">
        <f>IF(AND($A153&lt;&gt;"",OR($D153="Active",$D153="Paused")),1,0)</f>
        <v/>
      </c>
      <c r="R153" s="28">
        <f>IFERROR(INDEX($A$6:$A$305,MATCH(146,$S$6:$S$305,0)),"")</f>
        <v/>
      </c>
      <c r="S153" s="28">
        <f>IF(AND($A153&lt;&gt;"",$B153="Program"),COUNTIFS($B$6:$B153,"Program",$A$6:$A153,"&lt;&gt;"),"")</f>
        <v/>
      </c>
      <c r="T153" s="30">
        <f>IF(AND($A153&lt;&gt;"",$B153="Program"),SUMPRODUCT(MAX(($C$6:$C$305=$A153)*($B$6:$B$305="Project")*($D$6:$D$305&lt;&gt;"Proposed")*$I$6:$I$305)),0)</f>
        <v/>
      </c>
      <c r="U153" s="30">
        <f>IF($I153&lt;&gt;"",$I153,IF($T153&gt;0,$T153,""))</f>
        <v/>
      </c>
      <c r="V153" s="28">
        <f>IF(AND($A153&lt;&gt;"",$B153="Program"),SUMIFS($J$6:$J$305,$C$6:$C$305,$A153,$B$6:$B$305,"Project",$D$6:$D$305,"&lt;&gt;Proposed"),0)</f>
        <v/>
      </c>
      <c r="W153" s="28">
        <f>IF(AND($A153&lt;&gt;"",$B153="Program"),COUNTIFS($C$6:$C$305,$A153,$B$6:$B$305,"Project",$D$6:$D$305,"&lt;&gt;Proposed")-COUNTIFS($C$6:$C$305,$A153,$B$6:$B$305,"Project",$D$6:$D$305,"&lt;&gt;Proposed",$J$6:$J$305,"&gt;=0"),0)</f>
        <v/>
      </c>
      <c r="X153" s="28">
        <f>IF(OR($Q153=0,$H153="",$AF153="Sprint"),0,IF(AND($B153="Project",$H153&lt;TODAY()),3,IF($U153="",0,IF($U153&lt;=$H153,1,IF(NETWORKDAYS($H153,$U153)-1&gt;IF($B153="Program",Checks!$B$7,Checks!$B$6),3,2)))))</f>
        <v/>
      </c>
      <c r="Y153" s="28">
        <f>IF(OR($Q153=0,$K153="",$K153=0,$AF153="Sprint"),0,IF(AND($B153="Project",$J153=""),0,IF(IF($B153="Program",$V153,$J153)&gt;$K153*(1+Checks!$B$8),3,IF(IF($B153="Program",$V153,$J153)&gt;$K153,2,IF(AND($B153="Program",OR($W153&gt;0,$V153=0)),0,1)))))</f>
        <v/>
      </c>
      <c r="Z153" s="28">
        <f>IF($A153="",0,IF($C153="Portfolio",1,IF(AND($B153="Project",$C153&lt;&gt;"",$C153&lt;&gt;"Outside the portfolio"),IFERROR(IF(AND(INDEX($B$6:$B$305,MATCH($C153,$A$6:$A$305,0))="Program",INDEX($C$6:$C$305,MATCH($C153,$A$6:$A$305,0))="Portfolio"),1,0),0),0)))</f>
        <v/>
      </c>
      <c r="AA153" s="28">
        <f>IF(AND($A153&lt;&gt;"",$E153="",OR($Q153=1,$D153="Proposed")),1,0)</f>
        <v/>
      </c>
      <c r="AB153" s="28">
        <f>IF(AND($A153&lt;&gt;"",$B153="Program",$F153="",$Q153=1),1,0)</f>
        <v/>
      </c>
      <c r="AC153" s="28">
        <f>IF(OR($A153="",$D153="Completed",$D153="Terminated"),0,IF($C153="",1,IF($C153="Portfolio",0,IF($C153="Outside the portfolio",IF($Q153=1,2,0),IF($B153="Project",IF(IFERROR(INDEX($B$6:$B$305,MATCH($C153,$A$6:$A$305,0)),"")="Program",0,1),1)))))</f>
        <v/>
      </c>
      <c r="AD153" s="28">
        <f>IF(AND($A153&lt;&gt;"",OR($M153="■ Red",$M153="◧ Amber"),$L153=""),1,0)</f>
        <v/>
      </c>
      <c r="AE153" s="28">
        <f>$AA153+$AB153+IF($AC153&gt;0,1,0)+$AD153+$AG153+$AH153</f>
        <v/>
      </c>
      <c r="AF153" s="25" t="n"/>
      <c r="AG153" s="28">
        <f>IF(AND($A153&lt;&gt;"",$K153&lt;&gt;"",$C153&lt;&gt;"Portfolio",$D153&lt;&gt;"Completed",$D153&lt;&gt;"Terminated"),1,0)</f>
        <v/>
      </c>
      <c r="AH153" s="28">
        <f>IF(AND($A153&lt;&gt;"",COUNTIF($A$6:$A$305,$A153)&gt;1),1,0)</f>
        <v/>
      </c>
      <c r="AI153" s="28">
        <f>IF(AND($A153&lt;&gt;"",$C153="Portfolio"),COUNTIFS($C$6:$C153,"Portfolio",$A$6:$A153,"&lt;&gt;"),"")</f>
        <v/>
      </c>
    </row>
    <row r="154">
      <c r="A154" s="25" t="n"/>
      <c r="B154" s="25" t="n"/>
      <c r="C154" s="25" t="n"/>
      <c r="D154" s="25" t="n"/>
      <c r="E154" s="25" t="n"/>
      <c r="F154" s="25" t="n"/>
      <c r="G154" s="25" t="n"/>
      <c r="H154" s="26" t="n"/>
      <c r="I154" s="26" t="n"/>
      <c r="J154" s="27" t="n"/>
      <c r="K154" s="27" t="n"/>
      <c r="L154" s="23" t="n"/>
      <c r="M154" s="28">
        <f>IF($A154="","",IF($D154="","Not read",IF($Q154=0,"Not counted",IF(MAX($X154,$Y154)=3,"■ Red",IF(MAX($X154,$Y154)=2,"◧ Amber",IF(MAX($X154,$Y154)=1,"□ On track","Not read"))))))</f>
        <v/>
      </c>
      <c r="N154" s="28">
        <f>IF(OR($A154="",$B154&lt;&gt;"Program"),"","■ "&amp;COUNTIFS($C$6:$C$305,$A154,$M$6:$M$305,"■ Red")&amp;" Red, ◧ "&amp;COUNTIFS($C$6:$C$305,$A154,$M$6:$M$305,"◧ Amber")&amp;" Amber")</f>
        <v/>
      </c>
      <c r="O154" s="29">
        <f>IF(OR($A154="",$E154=""),"",COUNTIFS($E$6:$E$305,$E154,$D$6:$D$305,"Active")+COUNTIFS($E$6:$E$305,$E154,$D$6:$D$305,"Paused"))</f>
        <v/>
      </c>
      <c r="P154" s="28">
        <f>IF($A154="","",IF($AE154=0,"○ Clear",IF($AA154=1,"△ No owner",IF($AC154=1,"△ Check Sits under",IF($AC154=2,"△ Outside the portfolio",IF($AB154=1,"△ No sponsor",IF($AH154=1,"△ Name used twice",IF($AG154=1,"△ Budget only counts under Portfolio","△ No variance note"))))))&amp;IF($AE154&gt;1," (+"&amp;($AE154-1)&amp;" more)","")))</f>
        <v/>
      </c>
      <c r="Q154" s="28">
        <f>IF(AND($A154&lt;&gt;"",OR($D154="Active",$D154="Paused")),1,0)</f>
        <v/>
      </c>
      <c r="R154" s="28">
        <f>IFERROR(INDEX($A$6:$A$305,MATCH(147,$S$6:$S$305,0)),"")</f>
        <v/>
      </c>
      <c r="S154" s="28">
        <f>IF(AND($A154&lt;&gt;"",$B154="Program"),COUNTIFS($B$6:$B154,"Program",$A$6:$A154,"&lt;&gt;"),"")</f>
        <v/>
      </c>
      <c r="T154" s="30">
        <f>IF(AND($A154&lt;&gt;"",$B154="Program"),SUMPRODUCT(MAX(($C$6:$C$305=$A154)*($B$6:$B$305="Project")*($D$6:$D$305&lt;&gt;"Proposed")*$I$6:$I$305)),0)</f>
        <v/>
      </c>
      <c r="U154" s="30">
        <f>IF($I154&lt;&gt;"",$I154,IF($T154&gt;0,$T154,""))</f>
        <v/>
      </c>
      <c r="V154" s="28">
        <f>IF(AND($A154&lt;&gt;"",$B154="Program"),SUMIFS($J$6:$J$305,$C$6:$C$305,$A154,$B$6:$B$305,"Project",$D$6:$D$305,"&lt;&gt;Proposed"),0)</f>
        <v/>
      </c>
      <c r="W154" s="28">
        <f>IF(AND($A154&lt;&gt;"",$B154="Program"),COUNTIFS($C$6:$C$305,$A154,$B$6:$B$305,"Project",$D$6:$D$305,"&lt;&gt;Proposed")-COUNTIFS($C$6:$C$305,$A154,$B$6:$B$305,"Project",$D$6:$D$305,"&lt;&gt;Proposed",$J$6:$J$305,"&gt;=0"),0)</f>
        <v/>
      </c>
      <c r="X154" s="28">
        <f>IF(OR($Q154=0,$H154="",$AF154="Sprint"),0,IF(AND($B154="Project",$H154&lt;TODAY()),3,IF($U154="",0,IF($U154&lt;=$H154,1,IF(NETWORKDAYS($H154,$U154)-1&gt;IF($B154="Program",Checks!$B$7,Checks!$B$6),3,2)))))</f>
        <v/>
      </c>
      <c r="Y154" s="28">
        <f>IF(OR($Q154=0,$K154="",$K154=0,$AF154="Sprint"),0,IF(AND($B154="Project",$J154=""),0,IF(IF($B154="Program",$V154,$J154)&gt;$K154*(1+Checks!$B$8),3,IF(IF($B154="Program",$V154,$J154)&gt;$K154,2,IF(AND($B154="Program",OR($W154&gt;0,$V154=0)),0,1)))))</f>
        <v/>
      </c>
      <c r="Z154" s="28">
        <f>IF($A154="",0,IF($C154="Portfolio",1,IF(AND($B154="Project",$C154&lt;&gt;"",$C154&lt;&gt;"Outside the portfolio"),IFERROR(IF(AND(INDEX($B$6:$B$305,MATCH($C154,$A$6:$A$305,0))="Program",INDEX($C$6:$C$305,MATCH($C154,$A$6:$A$305,0))="Portfolio"),1,0),0),0)))</f>
        <v/>
      </c>
      <c r="AA154" s="28">
        <f>IF(AND($A154&lt;&gt;"",$E154="",OR($Q154=1,$D154="Proposed")),1,0)</f>
        <v/>
      </c>
      <c r="AB154" s="28">
        <f>IF(AND($A154&lt;&gt;"",$B154="Program",$F154="",$Q154=1),1,0)</f>
        <v/>
      </c>
      <c r="AC154" s="28">
        <f>IF(OR($A154="",$D154="Completed",$D154="Terminated"),0,IF($C154="",1,IF($C154="Portfolio",0,IF($C154="Outside the portfolio",IF($Q154=1,2,0),IF($B154="Project",IF(IFERROR(INDEX($B$6:$B$305,MATCH($C154,$A$6:$A$305,0)),"")="Program",0,1),1)))))</f>
        <v/>
      </c>
      <c r="AD154" s="28">
        <f>IF(AND($A154&lt;&gt;"",OR($M154="■ Red",$M154="◧ Amber"),$L154=""),1,0)</f>
        <v/>
      </c>
      <c r="AE154" s="28">
        <f>$AA154+$AB154+IF($AC154&gt;0,1,0)+$AD154+$AG154+$AH154</f>
        <v/>
      </c>
      <c r="AF154" s="25" t="n"/>
      <c r="AG154" s="28">
        <f>IF(AND($A154&lt;&gt;"",$K154&lt;&gt;"",$C154&lt;&gt;"Portfolio",$D154&lt;&gt;"Completed",$D154&lt;&gt;"Terminated"),1,0)</f>
        <v/>
      </c>
      <c r="AH154" s="28">
        <f>IF(AND($A154&lt;&gt;"",COUNTIF($A$6:$A$305,$A154)&gt;1),1,0)</f>
        <v/>
      </c>
      <c r="AI154" s="28">
        <f>IF(AND($A154&lt;&gt;"",$C154="Portfolio"),COUNTIFS($C$6:$C154,"Portfolio",$A$6:$A154,"&lt;&gt;"),"")</f>
        <v/>
      </c>
    </row>
    <row r="155">
      <c r="A155" s="25" t="n"/>
      <c r="B155" s="25" t="n"/>
      <c r="C155" s="25" t="n"/>
      <c r="D155" s="25" t="n"/>
      <c r="E155" s="25" t="n"/>
      <c r="F155" s="25" t="n"/>
      <c r="G155" s="25" t="n"/>
      <c r="H155" s="26" t="n"/>
      <c r="I155" s="26" t="n"/>
      <c r="J155" s="27" t="n"/>
      <c r="K155" s="27" t="n"/>
      <c r="L155" s="23" t="n"/>
      <c r="M155" s="28">
        <f>IF($A155="","",IF($D155="","Not read",IF($Q155=0,"Not counted",IF(MAX($X155,$Y155)=3,"■ Red",IF(MAX($X155,$Y155)=2,"◧ Amber",IF(MAX($X155,$Y155)=1,"□ On track","Not read"))))))</f>
        <v/>
      </c>
      <c r="N155" s="28">
        <f>IF(OR($A155="",$B155&lt;&gt;"Program"),"","■ "&amp;COUNTIFS($C$6:$C$305,$A155,$M$6:$M$305,"■ Red")&amp;" Red, ◧ "&amp;COUNTIFS($C$6:$C$305,$A155,$M$6:$M$305,"◧ Amber")&amp;" Amber")</f>
        <v/>
      </c>
      <c r="O155" s="29">
        <f>IF(OR($A155="",$E155=""),"",COUNTIFS($E$6:$E$305,$E155,$D$6:$D$305,"Active")+COUNTIFS($E$6:$E$305,$E155,$D$6:$D$305,"Paused"))</f>
        <v/>
      </c>
      <c r="P155" s="28">
        <f>IF($A155="","",IF($AE155=0,"○ Clear",IF($AA155=1,"△ No owner",IF($AC155=1,"△ Check Sits under",IF($AC155=2,"△ Outside the portfolio",IF($AB155=1,"△ No sponsor",IF($AH155=1,"△ Name used twice",IF($AG155=1,"△ Budget only counts under Portfolio","△ No variance note"))))))&amp;IF($AE155&gt;1," (+"&amp;($AE155-1)&amp;" more)","")))</f>
        <v/>
      </c>
      <c r="Q155" s="28">
        <f>IF(AND($A155&lt;&gt;"",OR($D155="Active",$D155="Paused")),1,0)</f>
        <v/>
      </c>
      <c r="R155" s="28">
        <f>IFERROR(INDEX($A$6:$A$305,MATCH(148,$S$6:$S$305,0)),"")</f>
        <v/>
      </c>
      <c r="S155" s="28">
        <f>IF(AND($A155&lt;&gt;"",$B155="Program"),COUNTIFS($B$6:$B155,"Program",$A$6:$A155,"&lt;&gt;"),"")</f>
        <v/>
      </c>
      <c r="T155" s="30">
        <f>IF(AND($A155&lt;&gt;"",$B155="Program"),SUMPRODUCT(MAX(($C$6:$C$305=$A155)*($B$6:$B$305="Project")*($D$6:$D$305&lt;&gt;"Proposed")*$I$6:$I$305)),0)</f>
        <v/>
      </c>
      <c r="U155" s="30">
        <f>IF($I155&lt;&gt;"",$I155,IF($T155&gt;0,$T155,""))</f>
        <v/>
      </c>
      <c r="V155" s="28">
        <f>IF(AND($A155&lt;&gt;"",$B155="Program"),SUMIFS($J$6:$J$305,$C$6:$C$305,$A155,$B$6:$B$305,"Project",$D$6:$D$305,"&lt;&gt;Proposed"),0)</f>
        <v/>
      </c>
      <c r="W155" s="28">
        <f>IF(AND($A155&lt;&gt;"",$B155="Program"),COUNTIFS($C$6:$C$305,$A155,$B$6:$B$305,"Project",$D$6:$D$305,"&lt;&gt;Proposed")-COUNTIFS($C$6:$C$305,$A155,$B$6:$B$305,"Project",$D$6:$D$305,"&lt;&gt;Proposed",$J$6:$J$305,"&gt;=0"),0)</f>
        <v/>
      </c>
      <c r="X155" s="28">
        <f>IF(OR($Q155=0,$H155="",$AF155="Sprint"),0,IF(AND($B155="Project",$H155&lt;TODAY()),3,IF($U155="",0,IF($U155&lt;=$H155,1,IF(NETWORKDAYS($H155,$U155)-1&gt;IF($B155="Program",Checks!$B$7,Checks!$B$6),3,2)))))</f>
        <v/>
      </c>
      <c r="Y155" s="28">
        <f>IF(OR($Q155=0,$K155="",$K155=0,$AF155="Sprint"),0,IF(AND($B155="Project",$J155=""),0,IF(IF($B155="Program",$V155,$J155)&gt;$K155*(1+Checks!$B$8),3,IF(IF($B155="Program",$V155,$J155)&gt;$K155,2,IF(AND($B155="Program",OR($W155&gt;0,$V155=0)),0,1)))))</f>
        <v/>
      </c>
      <c r="Z155" s="28">
        <f>IF($A155="",0,IF($C155="Portfolio",1,IF(AND($B155="Project",$C155&lt;&gt;"",$C155&lt;&gt;"Outside the portfolio"),IFERROR(IF(AND(INDEX($B$6:$B$305,MATCH($C155,$A$6:$A$305,0))="Program",INDEX($C$6:$C$305,MATCH($C155,$A$6:$A$305,0))="Portfolio"),1,0),0),0)))</f>
        <v/>
      </c>
      <c r="AA155" s="28">
        <f>IF(AND($A155&lt;&gt;"",$E155="",OR($Q155=1,$D155="Proposed")),1,0)</f>
        <v/>
      </c>
      <c r="AB155" s="28">
        <f>IF(AND($A155&lt;&gt;"",$B155="Program",$F155="",$Q155=1),1,0)</f>
        <v/>
      </c>
      <c r="AC155" s="28">
        <f>IF(OR($A155="",$D155="Completed",$D155="Terminated"),0,IF($C155="",1,IF($C155="Portfolio",0,IF($C155="Outside the portfolio",IF($Q155=1,2,0),IF($B155="Project",IF(IFERROR(INDEX($B$6:$B$305,MATCH($C155,$A$6:$A$305,0)),"")="Program",0,1),1)))))</f>
        <v/>
      </c>
      <c r="AD155" s="28">
        <f>IF(AND($A155&lt;&gt;"",OR($M155="■ Red",$M155="◧ Amber"),$L155=""),1,0)</f>
        <v/>
      </c>
      <c r="AE155" s="28">
        <f>$AA155+$AB155+IF($AC155&gt;0,1,0)+$AD155+$AG155+$AH155</f>
        <v/>
      </c>
      <c r="AF155" s="25" t="n"/>
      <c r="AG155" s="28">
        <f>IF(AND($A155&lt;&gt;"",$K155&lt;&gt;"",$C155&lt;&gt;"Portfolio",$D155&lt;&gt;"Completed",$D155&lt;&gt;"Terminated"),1,0)</f>
        <v/>
      </c>
      <c r="AH155" s="28">
        <f>IF(AND($A155&lt;&gt;"",COUNTIF($A$6:$A$305,$A155)&gt;1),1,0)</f>
        <v/>
      </c>
      <c r="AI155" s="28">
        <f>IF(AND($A155&lt;&gt;"",$C155="Portfolio"),COUNTIFS($C$6:$C155,"Portfolio",$A$6:$A155,"&lt;&gt;"),"")</f>
        <v/>
      </c>
    </row>
    <row r="156">
      <c r="A156" s="25" t="n"/>
      <c r="B156" s="25" t="n"/>
      <c r="C156" s="25" t="n"/>
      <c r="D156" s="25" t="n"/>
      <c r="E156" s="25" t="n"/>
      <c r="F156" s="25" t="n"/>
      <c r="G156" s="25" t="n"/>
      <c r="H156" s="26" t="n"/>
      <c r="I156" s="26" t="n"/>
      <c r="J156" s="27" t="n"/>
      <c r="K156" s="27" t="n"/>
      <c r="L156" s="23" t="n"/>
      <c r="M156" s="28">
        <f>IF($A156="","",IF($D156="","Not read",IF($Q156=0,"Not counted",IF(MAX($X156,$Y156)=3,"■ Red",IF(MAX($X156,$Y156)=2,"◧ Amber",IF(MAX($X156,$Y156)=1,"□ On track","Not read"))))))</f>
        <v/>
      </c>
      <c r="N156" s="28">
        <f>IF(OR($A156="",$B156&lt;&gt;"Program"),"","■ "&amp;COUNTIFS($C$6:$C$305,$A156,$M$6:$M$305,"■ Red")&amp;" Red, ◧ "&amp;COUNTIFS($C$6:$C$305,$A156,$M$6:$M$305,"◧ Amber")&amp;" Amber")</f>
        <v/>
      </c>
      <c r="O156" s="29">
        <f>IF(OR($A156="",$E156=""),"",COUNTIFS($E$6:$E$305,$E156,$D$6:$D$305,"Active")+COUNTIFS($E$6:$E$305,$E156,$D$6:$D$305,"Paused"))</f>
        <v/>
      </c>
      <c r="P156" s="28">
        <f>IF($A156="","",IF($AE156=0,"○ Clear",IF($AA156=1,"△ No owner",IF($AC156=1,"△ Check Sits under",IF($AC156=2,"△ Outside the portfolio",IF($AB156=1,"△ No sponsor",IF($AH156=1,"△ Name used twice",IF($AG156=1,"△ Budget only counts under Portfolio","△ No variance note"))))))&amp;IF($AE156&gt;1," (+"&amp;($AE156-1)&amp;" more)","")))</f>
        <v/>
      </c>
      <c r="Q156" s="28">
        <f>IF(AND($A156&lt;&gt;"",OR($D156="Active",$D156="Paused")),1,0)</f>
        <v/>
      </c>
      <c r="R156" s="28">
        <f>IFERROR(INDEX($A$6:$A$305,MATCH(149,$S$6:$S$305,0)),"")</f>
        <v/>
      </c>
      <c r="S156" s="28">
        <f>IF(AND($A156&lt;&gt;"",$B156="Program"),COUNTIFS($B$6:$B156,"Program",$A$6:$A156,"&lt;&gt;"),"")</f>
        <v/>
      </c>
      <c r="T156" s="30">
        <f>IF(AND($A156&lt;&gt;"",$B156="Program"),SUMPRODUCT(MAX(($C$6:$C$305=$A156)*($B$6:$B$305="Project")*($D$6:$D$305&lt;&gt;"Proposed")*$I$6:$I$305)),0)</f>
        <v/>
      </c>
      <c r="U156" s="30">
        <f>IF($I156&lt;&gt;"",$I156,IF($T156&gt;0,$T156,""))</f>
        <v/>
      </c>
      <c r="V156" s="28">
        <f>IF(AND($A156&lt;&gt;"",$B156="Program"),SUMIFS($J$6:$J$305,$C$6:$C$305,$A156,$B$6:$B$305,"Project",$D$6:$D$305,"&lt;&gt;Proposed"),0)</f>
        <v/>
      </c>
      <c r="W156" s="28">
        <f>IF(AND($A156&lt;&gt;"",$B156="Program"),COUNTIFS($C$6:$C$305,$A156,$B$6:$B$305,"Project",$D$6:$D$305,"&lt;&gt;Proposed")-COUNTIFS($C$6:$C$305,$A156,$B$6:$B$305,"Project",$D$6:$D$305,"&lt;&gt;Proposed",$J$6:$J$305,"&gt;=0"),0)</f>
        <v/>
      </c>
      <c r="X156" s="28">
        <f>IF(OR($Q156=0,$H156="",$AF156="Sprint"),0,IF(AND($B156="Project",$H156&lt;TODAY()),3,IF($U156="",0,IF($U156&lt;=$H156,1,IF(NETWORKDAYS($H156,$U156)-1&gt;IF($B156="Program",Checks!$B$7,Checks!$B$6),3,2)))))</f>
        <v/>
      </c>
      <c r="Y156" s="28">
        <f>IF(OR($Q156=0,$K156="",$K156=0,$AF156="Sprint"),0,IF(AND($B156="Project",$J156=""),0,IF(IF($B156="Program",$V156,$J156)&gt;$K156*(1+Checks!$B$8),3,IF(IF($B156="Program",$V156,$J156)&gt;$K156,2,IF(AND($B156="Program",OR($W156&gt;0,$V156=0)),0,1)))))</f>
        <v/>
      </c>
      <c r="Z156" s="28">
        <f>IF($A156="",0,IF($C156="Portfolio",1,IF(AND($B156="Project",$C156&lt;&gt;"",$C156&lt;&gt;"Outside the portfolio"),IFERROR(IF(AND(INDEX($B$6:$B$305,MATCH($C156,$A$6:$A$305,0))="Program",INDEX($C$6:$C$305,MATCH($C156,$A$6:$A$305,0))="Portfolio"),1,0),0),0)))</f>
        <v/>
      </c>
      <c r="AA156" s="28">
        <f>IF(AND($A156&lt;&gt;"",$E156="",OR($Q156=1,$D156="Proposed")),1,0)</f>
        <v/>
      </c>
      <c r="AB156" s="28">
        <f>IF(AND($A156&lt;&gt;"",$B156="Program",$F156="",$Q156=1),1,0)</f>
        <v/>
      </c>
      <c r="AC156" s="28">
        <f>IF(OR($A156="",$D156="Completed",$D156="Terminated"),0,IF($C156="",1,IF($C156="Portfolio",0,IF($C156="Outside the portfolio",IF($Q156=1,2,0),IF($B156="Project",IF(IFERROR(INDEX($B$6:$B$305,MATCH($C156,$A$6:$A$305,0)),"")="Program",0,1),1)))))</f>
        <v/>
      </c>
      <c r="AD156" s="28">
        <f>IF(AND($A156&lt;&gt;"",OR($M156="■ Red",$M156="◧ Amber"),$L156=""),1,0)</f>
        <v/>
      </c>
      <c r="AE156" s="28">
        <f>$AA156+$AB156+IF($AC156&gt;0,1,0)+$AD156+$AG156+$AH156</f>
        <v/>
      </c>
      <c r="AF156" s="25" t="n"/>
      <c r="AG156" s="28">
        <f>IF(AND($A156&lt;&gt;"",$K156&lt;&gt;"",$C156&lt;&gt;"Portfolio",$D156&lt;&gt;"Completed",$D156&lt;&gt;"Terminated"),1,0)</f>
        <v/>
      </c>
      <c r="AH156" s="28">
        <f>IF(AND($A156&lt;&gt;"",COUNTIF($A$6:$A$305,$A156)&gt;1),1,0)</f>
        <v/>
      </c>
      <c r="AI156" s="28">
        <f>IF(AND($A156&lt;&gt;"",$C156="Portfolio"),COUNTIFS($C$6:$C156,"Portfolio",$A$6:$A156,"&lt;&gt;"),"")</f>
        <v/>
      </c>
    </row>
    <row r="157">
      <c r="A157" s="25" t="n"/>
      <c r="B157" s="25" t="n"/>
      <c r="C157" s="25" t="n"/>
      <c r="D157" s="25" t="n"/>
      <c r="E157" s="25" t="n"/>
      <c r="F157" s="25" t="n"/>
      <c r="G157" s="25" t="n"/>
      <c r="H157" s="26" t="n"/>
      <c r="I157" s="26" t="n"/>
      <c r="J157" s="27" t="n"/>
      <c r="K157" s="27" t="n"/>
      <c r="L157" s="23" t="n"/>
      <c r="M157" s="28">
        <f>IF($A157="","",IF($D157="","Not read",IF($Q157=0,"Not counted",IF(MAX($X157,$Y157)=3,"■ Red",IF(MAX($X157,$Y157)=2,"◧ Amber",IF(MAX($X157,$Y157)=1,"□ On track","Not read"))))))</f>
        <v/>
      </c>
      <c r="N157" s="28">
        <f>IF(OR($A157="",$B157&lt;&gt;"Program"),"","■ "&amp;COUNTIFS($C$6:$C$305,$A157,$M$6:$M$305,"■ Red")&amp;" Red, ◧ "&amp;COUNTIFS($C$6:$C$305,$A157,$M$6:$M$305,"◧ Amber")&amp;" Amber")</f>
        <v/>
      </c>
      <c r="O157" s="29">
        <f>IF(OR($A157="",$E157=""),"",COUNTIFS($E$6:$E$305,$E157,$D$6:$D$305,"Active")+COUNTIFS($E$6:$E$305,$E157,$D$6:$D$305,"Paused"))</f>
        <v/>
      </c>
      <c r="P157" s="28">
        <f>IF($A157="","",IF($AE157=0,"○ Clear",IF($AA157=1,"△ No owner",IF($AC157=1,"△ Check Sits under",IF($AC157=2,"△ Outside the portfolio",IF($AB157=1,"△ No sponsor",IF($AH157=1,"△ Name used twice",IF($AG157=1,"△ Budget only counts under Portfolio","△ No variance note"))))))&amp;IF($AE157&gt;1," (+"&amp;($AE157-1)&amp;" more)","")))</f>
        <v/>
      </c>
      <c r="Q157" s="28">
        <f>IF(AND($A157&lt;&gt;"",OR($D157="Active",$D157="Paused")),1,0)</f>
        <v/>
      </c>
      <c r="R157" s="28">
        <f>IFERROR(INDEX($A$6:$A$305,MATCH(150,$S$6:$S$305,0)),"")</f>
        <v/>
      </c>
      <c r="S157" s="28">
        <f>IF(AND($A157&lt;&gt;"",$B157="Program"),COUNTIFS($B$6:$B157,"Program",$A$6:$A157,"&lt;&gt;"),"")</f>
        <v/>
      </c>
      <c r="T157" s="30">
        <f>IF(AND($A157&lt;&gt;"",$B157="Program"),SUMPRODUCT(MAX(($C$6:$C$305=$A157)*($B$6:$B$305="Project")*($D$6:$D$305&lt;&gt;"Proposed")*$I$6:$I$305)),0)</f>
        <v/>
      </c>
      <c r="U157" s="30">
        <f>IF($I157&lt;&gt;"",$I157,IF($T157&gt;0,$T157,""))</f>
        <v/>
      </c>
      <c r="V157" s="28">
        <f>IF(AND($A157&lt;&gt;"",$B157="Program"),SUMIFS($J$6:$J$305,$C$6:$C$305,$A157,$B$6:$B$305,"Project",$D$6:$D$305,"&lt;&gt;Proposed"),0)</f>
        <v/>
      </c>
      <c r="W157" s="28">
        <f>IF(AND($A157&lt;&gt;"",$B157="Program"),COUNTIFS($C$6:$C$305,$A157,$B$6:$B$305,"Project",$D$6:$D$305,"&lt;&gt;Proposed")-COUNTIFS($C$6:$C$305,$A157,$B$6:$B$305,"Project",$D$6:$D$305,"&lt;&gt;Proposed",$J$6:$J$305,"&gt;=0"),0)</f>
        <v/>
      </c>
      <c r="X157" s="28">
        <f>IF(OR($Q157=0,$H157="",$AF157="Sprint"),0,IF(AND($B157="Project",$H157&lt;TODAY()),3,IF($U157="",0,IF($U157&lt;=$H157,1,IF(NETWORKDAYS($H157,$U157)-1&gt;IF($B157="Program",Checks!$B$7,Checks!$B$6),3,2)))))</f>
        <v/>
      </c>
      <c r="Y157" s="28">
        <f>IF(OR($Q157=0,$K157="",$K157=0,$AF157="Sprint"),0,IF(AND($B157="Project",$J157=""),0,IF(IF($B157="Program",$V157,$J157)&gt;$K157*(1+Checks!$B$8),3,IF(IF($B157="Program",$V157,$J157)&gt;$K157,2,IF(AND($B157="Program",OR($W157&gt;0,$V157=0)),0,1)))))</f>
        <v/>
      </c>
      <c r="Z157" s="28">
        <f>IF($A157="",0,IF($C157="Portfolio",1,IF(AND($B157="Project",$C157&lt;&gt;"",$C157&lt;&gt;"Outside the portfolio"),IFERROR(IF(AND(INDEX($B$6:$B$305,MATCH($C157,$A$6:$A$305,0))="Program",INDEX($C$6:$C$305,MATCH($C157,$A$6:$A$305,0))="Portfolio"),1,0),0),0)))</f>
        <v/>
      </c>
      <c r="AA157" s="28">
        <f>IF(AND($A157&lt;&gt;"",$E157="",OR($Q157=1,$D157="Proposed")),1,0)</f>
        <v/>
      </c>
      <c r="AB157" s="28">
        <f>IF(AND($A157&lt;&gt;"",$B157="Program",$F157="",$Q157=1),1,0)</f>
        <v/>
      </c>
      <c r="AC157" s="28">
        <f>IF(OR($A157="",$D157="Completed",$D157="Terminated"),0,IF($C157="",1,IF($C157="Portfolio",0,IF($C157="Outside the portfolio",IF($Q157=1,2,0),IF($B157="Project",IF(IFERROR(INDEX($B$6:$B$305,MATCH($C157,$A$6:$A$305,0)),"")="Program",0,1),1)))))</f>
        <v/>
      </c>
      <c r="AD157" s="28">
        <f>IF(AND($A157&lt;&gt;"",OR($M157="■ Red",$M157="◧ Amber"),$L157=""),1,0)</f>
        <v/>
      </c>
      <c r="AE157" s="28">
        <f>$AA157+$AB157+IF($AC157&gt;0,1,0)+$AD157+$AG157+$AH157</f>
        <v/>
      </c>
      <c r="AF157" s="25" t="n"/>
      <c r="AG157" s="28">
        <f>IF(AND($A157&lt;&gt;"",$K157&lt;&gt;"",$C157&lt;&gt;"Portfolio",$D157&lt;&gt;"Completed",$D157&lt;&gt;"Terminated"),1,0)</f>
        <v/>
      </c>
      <c r="AH157" s="28">
        <f>IF(AND($A157&lt;&gt;"",COUNTIF($A$6:$A$305,$A157)&gt;1),1,0)</f>
        <v/>
      </c>
      <c r="AI157" s="28">
        <f>IF(AND($A157&lt;&gt;"",$C157="Portfolio"),COUNTIFS($C$6:$C157,"Portfolio",$A$6:$A157,"&lt;&gt;"),"")</f>
        <v/>
      </c>
    </row>
    <row r="158">
      <c r="A158" s="25" t="n"/>
      <c r="B158" s="25" t="n"/>
      <c r="C158" s="25" t="n"/>
      <c r="D158" s="25" t="n"/>
      <c r="E158" s="25" t="n"/>
      <c r="F158" s="25" t="n"/>
      <c r="G158" s="25" t="n"/>
      <c r="H158" s="26" t="n"/>
      <c r="I158" s="26" t="n"/>
      <c r="J158" s="27" t="n"/>
      <c r="K158" s="27" t="n"/>
      <c r="L158" s="23" t="n"/>
      <c r="M158" s="28">
        <f>IF($A158="","",IF($D158="","Not read",IF($Q158=0,"Not counted",IF(MAX($X158,$Y158)=3,"■ Red",IF(MAX($X158,$Y158)=2,"◧ Amber",IF(MAX($X158,$Y158)=1,"□ On track","Not read"))))))</f>
        <v/>
      </c>
      <c r="N158" s="28">
        <f>IF(OR($A158="",$B158&lt;&gt;"Program"),"","■ "&amp;COUNTIFS($C$6:$C$305,$A158,$M$6:$M$305,"■ Red")&amp;" Red, ◧ "&amp;COUNTIFS($C$6:$C$305,$A158,$M$6:$M$305,"◧ Amber")&amp;" Amber")</f>
        <v/>
      </c>
      <c r="O158" s="29">
        <f>IF(OR($A158="",$E158=""),"",COUNTIFS($E$6:$E$305,$E158,$D$6:$D$305,"Active")+COUNTIFS($E$6:$E$305,$E158,$D$6:$D$305,"Paused"))</f>
        <v/>
      </c>
      <c r="P158" s="28">
        <f>IF($A158="","",IF($AE158=0,"○ Clear",IF($AA158=1,"△ No owner",IF($AC158=1,"△ Check Sits under",IF($AC158=2,"△ Outside the portfolio",IF($AB158=1,"△ No sponsor",IF($AH158=1,"△ Name used twice",IF($AG158=1,"△ Budget only counts under Portfolio","△ No variance note"))))))&amp;IF($AE158&gt;1," (+"&amp;($AE158-1)&amp;" more)","")))</f>
        <v/>
      </c>
      <c r="Q158" s="28">
        <f>IF(AND($A158&lt;&gt;"",OR($D158="Active",$D158="Paused")),1,0)</f>
        <v/>
      </c>
      <c r="R158" s="28">
        <f>IFERROR(INDEX($A$6:$A$305,MATCH(151,$S$6:$S$305,0)),"")</f>
        <v/>
      </c>
      <c r="S158" s="28">
        <f>IF(AND($A158&lt;&gt;"",$B158="Program"),COUNTIFS($B$6:$B158,"Program",$A$6:$A158,"&lt;&gt;"),"")</f>
        <v/>
      </c>
      <c r="T158" s="30">
        <f>IF(AND($A158&lt;&gt;"",$B158="Program"),SUMPRODUCT(MAX(($C$6:$C$305=$A158)*($B$6:$B$305="Project")*($D$6:$D$305&lt;&gt;"Proposed")*$I$6:$I$305)),0)</f>
        <v/>
      </c>
      <c r="U158" s="30">
        <f>IF($I158&lt;&gt;"",$I158,IF($T158&gt;0,$T158,""))</f>
        <v/>
      </c>
      <c r="V158" s="28">
        <f>IF(AND($A158&lt;&gt;"",$B158="Program"),SUMIFS($J$6:$J$305,$C$6:$C$305,$A158,$B$6:$B$305,"Project",$D$6:$D$305,"&lt;&gt;Proposed"),0)</f>
        <v/>
      </c>
      <c r="W158" s="28">
        <f>IF(AND($A158&lt;&gt;"",$B158="Program"),COUNTIFS($C$6:$C$305,$A158,$B$6:$B$305,"Project",$D$6:$D$305,"&lt;&gt;Proposed")-COUNTIFS($C$6:$C$305,$A158,$B$6:$B$305,"Project",$D$6:$D$305,"&lt;&gt;Proposed",$J$6:$J$305,"&gt;=0"),0)</f>
        <v/>
      </c>
      <c r="X158" s="28">
        <f>IF(OR($Q158=0,$H158="",$AF158="Sprint"),0,IF(AND($B158="Project",$H158&lt;TODAY()),3,IF($U158="",0,IF($U158&lt;=$H158,1,IF(NETWORKDAYS($H158,$U158)-1&gt;IF($B158="Program",Checks!$B$7,Checks!$B$6),3,2)))))</f>
        <v/>
      </c>
      <c r="Y158" s="28">
        <f>IF(OR($Q158=0,$K158="",$K158=0,$AF158="Sprint"),0,IF(AND($B158="Project",$J158=""),0,IF(IF($B158="Program",$V158,$J158)&gt;$K158*(1+Checks!$B$8),3,IF(IF($B158="Program",$V158,$J158)&gt;$K158,2,IF(AND($B158="Program",OR($W158&gt;0,$V158=0)),0,1)))))</f>
        <v/>
      </c>
      <c r="Z158" s="28">
        <f>IF($A158="",0,IF($C158="Portfolio",1,IF(AND($B158="Project",$C158&lt;&gt;"",$C158&lt;&gt;"Outside the portfolio"),IFERROR(IF(AND(INDEX($B$6:$B$305,MATCH($C158,$A$6:$A$305,0))="Program",INDEX($C$6:$C$305,MATCH($C158,$A$6:$A$305,0))="Portfolio"),1,0),0),0)))</f>
        <v/>
      </c>
      <c r="AA158" s="28">
        <f>IF(AND($A158&lt;&gt;"",$E158="",OR($Q158=1,$D158="Proposed")),1,0)</f>
        <v/>
      </c>
      <c r="AB158" s="28">
        <f>IF(AND($A158&lt;&gt;"",$B158="Program",$F158="",$Q158=1),1,0)</f>
        <v/>
      </c>
      <c r="AC158" s="28">
        <f>IF(OR($A158="",$D158="Completed",$D158="Terminated"),0,IF($C158="",1,IF($C158="Portfolio",0,IF($C158="Outside the portfolio",IF($Q158=1,2,0),IF($B158="Project",IF(IFERROR(INDEX($B$6:$B$305,MATCH($C158,$A$6:$A$305,0)),"")="Program",0,1),1)))))</f>
        <v/>
      </c>
      <c r="AD158" s="28">
        <f>IF(AND($A158&lt;&gt;"",OR($M158="■ Red",$M158="◧ Amber"),$L158=""),1,0)</f>
        <v/>
      </c>
      <c r="AE158" s="28">
        <f>$AA158+$AB158+IF($AC158&gt;0,1,0)+$AD158+$AG158+$AH158</f>
        <v/>
      </c>
      <c r="AF158" s="25" t="n"/>
      <c r="AG158" s="28">
        <f>IF(AND($A158&lt;&gt;"",$K158&lt;&gt;"",$C158&lt;&gt;"Portfolio",$D158&lt;&gt;"Completed",$D158&lt;&gt;"Terminated"),1,0)</f>
        <v/>
      </c>
      <c r="AH158" s="28">
        <f>IF(AND($A158&lt;&gt;"",COUNTIF($A$6:$A$305,$A158)&gt;1),1,0)</f>
        <v/>
      </c>
      <c r="AI158" s="28">
        <f>IF(AND($A158&lt;&gt;"",$C158="Portfolio"),COUNTIFS($C$6:$C158,"Portfolio",$A$6:$A158,"&lt;&gt;"),"")</f>
        <v/>
      </c>
    </row>
    <row r="159">
      <c r="A159" s="25" t="n"/>
      <c r="B159" s="25" t="n"/>
      <c r="C159" s="25" t="n"/>
      <c r="D159" s="25" t="n"/>
      <c r="E159" s="25" t="n"/>
      <c r="F159" s="25" t="n"/>
      <c r="G159" s="25" t="n"/>
      <c r="H159" s="26" t="n"/>
      <c r="I159" s="26" t="n"/>
      <c r="J159" s="27" t="n"/>
      <c r="K159" s="27" t="n"/>
      <c r="L159" s="23" t="n"/>
      <c r="M159" s="28">
        <f>IF($A159="","",IF($D159="","Not read",IF($Q159=0,"Not counted",IF(MAX($X159,$Y159)=3,"■ Red",IF(MAX($X159,$Y159)=2,"◧ Amber",IF(MAX($X159,$Y159)=1,"□ On track","Not read"))))))</f>
        <v/>
      </c>
      <c r="N159" s="28">
        <f>IF(OR($A159="",$B159&lt;&gt;"Program"),"","■ "&amp;COUNTIFS($C$6:$C$305,$A159,$M$6:$M$305,"■ Red")&amp;" Red, ◧ "&amp;COUNTIFS($C$6:$C$305,$A159,$M$6:$M$305,"◧ Amber")&amp;" Amber")</f>
        <v/>
      </c>
      <c r="O159" s="29">
        <f>IF(OR($A159="",$E159=""),"",COUNTIFS($E$6:$E$305,$E159,$D$6:$D$305,"Active")+COUNTIFS($E$6:$E$305,$E159,$D$6:$D$305,"Paused"))</f>
        <v/>
      </c>
      <c r="P159" s="28">
        <f>IF($A159="","",IF($AE159=0,"○ Clear",IF($AA159=1,"△ No owner",IF($AC159=1,"△ Check Sits under",IF($AC159=2,"△ Outside the portfolio",IF($AB159=1,"△ No sponsor",IF($AH159=1,"△ Name used twice",IF($AG159=1,"△ Budget only counts under Portfolio","△ No variance note"))))))&amp;IF($AE159&gt;1," (+"&amp;($AE159-1)&amp;" more)","")))</f>
        <v/>
      </c>
      <c r="Q159" s="28">
        <f>IF(AND($A159&lt;&gt;"",OR($D159="Active",$D159="Paused")),1,0)</f>
        <v/>
      </c>
      <c r="R159" s="28">
        <f>IFERROR(INDEX($A$6:$A$305,MATCH(152,$S$6:$S$305,0)),"")</f>
        <v/>
      </c>
      <c r="S159" s="28">
        <f>IF(AND($A159&lt;&gt;"",$B159="Program"),COUNTIFS($B$6:$B159,"Program",$A$6:$A159,"&lt;&gt;"),"")</f>
        <v/>
      </c>
      <c r="T159" s="30">
        <f>IF(AND($A159&lt;&gt;"",$B159="Program"),SUMPRODUCT(MAX(($C$6:$C$305=$A159)*($B$6:$B$305="Project")*($D$6:$D$305&lt;&gt;"Proposed")*$I$6:$I$305)),0)</f>
        <v/>
      </c>
      <c r="U159" s="30">
        <f>IF($I159&lt;&gt;"",$I159,IF($T159&gt;0,$T159,""))</f>
        <v/>
      </c>
      <c r="V159" s="28">
        <f>IF(AND($A159&lt;&gt;"",$B159="Program"),SUMIFS($J$6:$J$305,$C$6:$C$305,$A159,$B$6:$B$305,"Project",$D$6:$D$305,"&lt;&gt;Proposed"),0)</f>
        <v/>
      </c>
      <c r="W159" s="28">
        <f>IF(AND($A159&lt;&gt;"",$B159="Program"),COUNTIFS($C$6:$C$305,$A159,$B$6:$B$305,"Project",$D$6:$D$305,"&lt;&gt;Proposed")-COUNTIFS($C$6:$C$305,$A159,$B$6:$B$305,"Project",$D$6:$D$305,"&lt;&gt;Proposed",$J$6:$J$305,"&gt;=0"),0)</f>
        <v/>
      </c>
      <c r="X159" s="28">
        <f>IF(OR($Q159=0,$H159="",$AF159="Sprint"),0,IF(AND($B159="Project",$H159&lt;TODAY()),3,IF($U159="",0,IF($U159&lt;=$H159,1,IF(NETWORKDAYS($H159,$U159)-1&gt;IF($B159="Program",Checks!$B$7,Checks!$B$6),3,2)))))</f>
        <v/>
      </c>
      <c r="Y159" s="28">
        <f>IF(OR($Q159=0,$K159="",$K159=0,$AF159="Sprint"),0,IF(AND($B159="Project",$J159=""),0,IF(IF($B159="Program",$V159,$J159)&gt;$K159*(1+Checks!$B$8),3,IF(IF($B159="Program",$V159,$J159)&gt;$K159,2,IF(AND($B159="Program",OR($W159&gt;0,$V159=0)),0,1)))))</f>
        <v/>
      </c>
      <c r="Z159" s="28">
        <f>IF($A159="",0,IF($C159="Portfolio",1,IF(AND($B159="Project",$C159&lt;&gt;"",$C159&lt;&gt;"Outside the portfolio"),IFERROR(IF(AND(INDEX($B$6:$B$305,MATCH($C159,$A$6:$A$305,0))="Program",INDEX($C$6:$C$305,MATCH($C159,$A$6:$A$305,0))="Portfolio"),1,0),0),0)))</f>
        <v/>
      </c>
      <c r="AA159" s="28">
        <f>IF(AND($A159&lt;&gt;"",$E159="",OR($Q159=1,$D159="Proposed")),1,0)</f>
        <v/>
      </c>
      <c r="AB159" s="28">
        <f>IF(AND($A159&lt;&gt;"",$B159="Program",$F159="",$Q159=1),1,0)</f>
        <v/>
      </c>
      <c r="AC159" s="28">
        <f>IF(OR($A159="",$D159="Completed",$D159="Terminated"),0,IF($C159="",1,IF($C159="Portfolio",0,IF($C159="Outside the portfolio",IF($Q159=1,2,0),IF($B159="Project",IF(IFERROR(INDEX($B$6:$B$305,MATCH($C159,$A$6:$A$305,0)),"")="Program",0,1),1)))))</f>
        <v/>
      </c>
      <c r="AD159" s="28">
        <f>IF(AND($A159&lt;&gt;"",OR($M159="■ Red",$M159="◧ Amber"),$L159=""),1,0)</f>
        <v/>
      </c>
      <c r="AE159" s="28">
        <f>$AA159+$AB159+IF($AC159&gt;0,1,0)+$AD159+$AG159+$AH159</f>
        <v/>
      </c>
      <c r="AF159" s="25" t="n"/>
      <c r="AG159" s="28">
        <f>IF(AND($A159&lt;&gt;"",$K159&lt;&gt;"",$C159&lt;&gt;"Portfolio",$D159&lt;&gt;"Completed",$D159&lt;&gt;"Terminated"),1,0)</f>
        <v/>
      </c>
      <c r="AH159" s="28">
        <f>IF(AND($A159&lt;&gt;"",COUNTIF($A$6:$A$305,$A159)&gt;1),1,0)</f>
        <v/>
      </c>
      <c r="AI159" s="28">
        <f>IF(AND($A159&lt;&gt;"",$C159="Portfolio"),COUNTIFS($C$6:$C159,"Portfolio",$A$6:$A159,"&lt;&gt;"),"")</f>
        <v/>
      </c>
    </row>
    <row r="160">
      <c r="A160" s="25" t="n"/>
      <c r="B160" s="25" t="n"/>
      <c r="C160" s="25" t="n"/>
      <c r="D160" s="25" t="n"/>
      <c r="E160" s="25" t="n"/>
      <c r="F160" s="25" t="n"/>
      <c r="G160" s="25" t="n"/>
      <c r="H160" s="26" t="n"/>
      <c r="I160" s="26" t="n"/>
      <c r="J160" s="27" t="n"/>
      <c r="K160" s="27" t="n"/>
      <c r="L160" s="23" t="n"/>
      <c r="M160" s="28">
        <f>IF($A160="","",IF($D160="","Not read",IF($Q160=0,"Not counted",IF(MAX($X160,$Y160)=3,"■ Red",IF(MAX($X160,$Y160)=2,"◧ Amber",IF(MAX($X160,$Y160)=1,"□ On track","Not read"))))))</f>
        <v/>
      </c>
      <c r="N160" s="28">
        <f>IF(OR($A160="",$B160&lt;&gt;"Program"),"","■ "&amp;COUNTIFS($C$6:$C$305,$A160,$M$6:$M$305,"■ Red")&amp;" Red, ◧ "&amp;COUNTIFS($C$6:$C$305,$A160,$M$6:$M$305,"◧ Amber")&amp;" Amber")</f>
        <v/>
      </c>
      <c r="O160" s="29">
        <f>IF(OR($A160="",$E160=""),"",COUNTIFS($E$6:$E$305,$E160,$D$6:$D$305,"Active")+COUNTIFS($E$6:$E$305,$E160,$D$6:$D$305,"Paused"))</f>
        <v/>
      </c>
      <c r="P160" s="28">
        <f>IF($A160="","",IF($AE160=0,"○ Clear",IF($AA160=1,"△ No owner",IF($AC160=1,"△ Check Sits under",IF($AC160=2,"△ Outside the portfolio",IF($AB160=1,"△ No sponsor",IF($AH160=1,"△ Name used twice",IF($AG160=1,"△ Budget only counts under Portfolio","△ No variance note"))))))&amp;IF($AE160&gt;1," (+"&amp;($AE160-1)&amp;" more)","")))</f>
        <v/>
      </c>
      <c r="Q160" s="28">
        <f>IF(AND($A160&lt;&gt;"",OR($D160="Active",$D160="Paused")),1,0)</f>
        <v/>
      </c>
      <c r="R160" s="28">
        <f>IFERROR(INDEX($A$6:$A$305,MATCH(153,$S$6:$S$305,0)),"")</f>
        <v/>
      </c>
      <c r="S160" s="28">
        <f>IF(AND($A160&lt;&gt;"",$B160="Program"),COUNTIFS($B$6:$B160,"Program",$A$6:$A160,"&lt;&gt;"),"")</f>
        <v/>
      </c>
      <c r="T160" s="30">
        <f>IF(AND($A160&lt;&gt;"",$B160="Program"),SUMPRODUCT(MAX(($C$6:$C$305=$A160)*($B$6:$B$305="Project")*($D$6:$D$305&lt;&gt;"Proposed")*$I$6:$I$305)),0)</f>
        <v/>
      </c>
      <c r="U160" s="30">
        <f>IF($I160&lt;&gt;"",$I160,IF($T160&gt;0,$T160,""))</f>
        <v/>
      </c>
      <c r="V160" s="28">
        <f>IF(AND($A160&lt;&gt;"",$B160="Program"),SUMIFS($J$6:$J$305,$C$6:$C$305,$A160,$B$6:$B$305,"Project",$D$6:$D$305,"&lt;&gt;Proposed"),0)</f>
        <v/>
      </c>
      <c r="W160" s="28">
        <f>IF(AND($A160&lt;&gt;"",$B160="Program"),COUNTIFS($C$6:$C$305,$A160,$B$6:$B$305,"Project",$D$6:$D$305,"&lt;&gt;Proposed")-COUNTIFS($C$6:$C$305,$A160,$B$6:$B$305,"Project",$D$6:$D$305,"&lt;&gt;Proposed",$J$6:$J$305,"&gt;=0"),0)</f>
        <v/>
      </c>
      <c r="X160" s="28">
        <f>IF(OR($Q160=0,$H160="",$AF160="Sprint"),0,IF(AND($B160="Project",$H160&lt;TODAY()),3,IF($U160="",0,IF($U160&lt;=$H160,1,IF(NETWORKDAYS($H160,$U160)-1&gt;IF($B160="Program",Checks!$B$7,Checks!$B$6),3,2)))))</f>
        <v/>
      </c>
      <c r="Y160" s="28">
        <f>IF(OR($Q160=0,$K160="",$K160=0,$AF160="Sprint"),0,IF(AND($B160="Project",$J160=""),0,IF(IF($B160="Program",$V160,$J160)&gt;$K160*(1+Checks!$B$8),3,IF(IF($B160="Program",$V160,$J160)&gt;$K160,2,IF(AND($B160="Program",OR($W160&gt;0,$V160=0)),0,1)))))</f>
        <v/>
      </c>
      <c r="Z160" s="28">
        <f>IF($A160="",0,IF($C160="Portfolio",1,IF(AND($B160="Project",$C160&lt;&gt;"",$C160&lt;&gt;"Outside the portfolio"),IFERROR(IF(AND(INDEX($B$6:$B$305,MATCH($C160,$A$6:$A$305,0))="Program",INDEX($C$6:$C$305,MATCH($C160,$A$6:$A$305,0))="Portfolio"),1,0),0),0)))</f>
        <v/>
      </c>
      <c r="AA160" s="28">
        <f>IF(AND($A160&lt;&gt;"",$E160="",OR($Q160=1,$D160="Proposed")),1,0)</f>
        <v/>
      </c>
      <c r="AB160" s="28">
        <f>IF(AND($A160&lt;&gt;"",$B160="Program",$F160="",$Q160=1),1,0)</f>
        <v/>
      </c>
      <c r="AC160" s="28">
        <f>IF(OR($A160="",$D160="Completed",$D160="Terminated"),0,IF($C160="",1,IF($C160="Portfolio",0,IF($C160="Outside the portfolio",IF($Q160=1,2,0),IF($B160="Project",IF(IFERROR(INDEX($B$6:$B$305,MATCH($C160,$A$6:$A$305,0)),"")="Program",0,1),1)))))</f>
        <v/>
      </c>
      <c r="AD160" s="28">
        <f>IF(AND($A160&lt;&gt;"",OR($M160="■ Red",$M160="◧ Amber"),$L160=""),1,0)</f>
        <v/>
      </c>
      <c r="AE160" s="28">
        <f>$AA160+$AB160+IF($AC160&gt;0,1,0)+$AD160+$AG160+$AH160</f>
        <v/>
      </c>
      <c r="AF160" s="25" t="n"/>
      <c r="AG160" s="28">
        <f>IF(AND($A160&lt;&gt;"",$K160&lt;&gt;"",$C160&lt;&gt;"Portfolio",$D160&lt;&gt;"Completed",$D160&lt;&gt;"Terminated"),1,0)</f>
        <v/>
      </c>
      <c r="AH160" s="28">
        <f>IF(AND($A160&lt;&gt;"",COUNTIF($A$6:$A$305,$A160)&gt;1),1,0)</f>
        <v/>
      </c>
      <c r="AI160" s="28">
        <f>IF(AND($A160&lt;&gt;"",$C160="Portfolio"),COUNTIFS($C$6:$C160,"Portfolio",$A$6:$A160,"&lt;&gt;"),"")</f>
        <v/>
      </c>
    </row>
    <row r="161">
      <c r="A161" s="25" t="n"/>
      <c r="B161" s="25" t="n"/>
      <c r="C161" s="25" t="n"/>
      <c r="D161" s="25" t="n"/>
      <c r="E161" s="25" t="n"/>
      <c r="F161" s="25" t="n"/>
      <c r="G161" s="25" t="n"/>
      <c r="H161" s="26" t="n"/>
      <c r="I161" s="26" t="n"/>
      <c r="J161" s="27" t="n"/>
      <c r="K161" s="27" t="n"/>
      <c r="L161" s="23" t="n"/>
      <c r="M161" s="28">
        <f>IF($A161="","",IF($D161="","Not read",IF($Q161=0,"Not counted",IF(MAX($X161,$Y161)=3,"■ Red",IF(MAX($X161,$Y161)=2,"◧ Amber",IF(MAX($X161,$Y161)=1,"□ On track","Not read"))))))</f>
        <v/>
      </c>
      <c r="N161" s="28">
        <f>IF(OR($A161="",$B161&lt;&gt;"Program"),"","■ "&amp;COUNTIFS($C$6:$C$305,$A161,$M$6:$M$305,"■ Red")&amp;" Red, ◧ "&amp;COUNTIFS($C$6:$C$305,$A161,$M$6:$M$305,"◧ Amber")&amp;" Amber")</f>
        <v/>
      </c>
      <c r="O161" s="29">
        <f>IF(OR($A161="",$E161=""),"",COUNTIFS($E$6:$E$305,$E161,$D$6:$D$305,"Active")+COUNTIFS($E$6:$E$305,$E161,$D$6:$D$305,"Paused"))</f>
        <v/>
      </c>
      <c r="P161" s="28">
        <f>IF($A161="","",IF($AE161=0,"○ Clear",IF($AA161=1,"△ No owner",IF($AC161=1,"△ Check Sits under",IF($AC161=2,"△ Outside the portfolio",IF($AB161=1,"△ No sponsor",IF($AH161=1,"△ Name used twice",IF($AG161=1,"△ Budget only counts under Portfolio","△ No variance note"))))))&amp;IF($AE161&gt;1," (+"&amp;($AE161-1)&amp;" more)","")))</f>
        <v/>
      </c>
      <c r="Q161" s="28">
        <f>IF(AND($A161&lt;&gt;"",OR($D161="Active",$D161="Paused")),1,0)</f>
        <v/>
      </c>
      <c r="R161" s="28">
        <f>IFERROR(INDEX($A$6:$A$305,MATCH(154,$S$6:$S$305,0)),"")</f>
        <v/>
      </c>
      <c r="S161" s="28">
        <f>IF(AND($A161&lt;&gt;"",$B161="Program"),COUNTIFS($B$6:$B161,"Program",$A$6:$A161,"&lt;&gt;"),"")</f>
        <v/>
      </c>
      <c r="T161" s="30">
        <f>IF(AND($A161&lt;&gt;"",$B161="Program"),SUMPRODUCT(MAX(($C$6:$C$305=$A161)*($B$6:$B$305="Project")*($D$6:$D$305&lt;&gt;"Proposed")*$I$6:$I$305)),0)</f>
        <v/>
      </c>
      <c r="U161" s="30">
        <f>IF($I161&lt;&gt;"",$I161,IF($T161&gt;0,$T161,""))</f>
        <v/>
      </c>
      <c r="V161" s="28">
        <f>IF(AND($A161&lt;&gt;"",$B161="Program"),SUMIFS($J$6:$J$305,$C$6:$C$305,$A161,$B$6:$B$305,"Project",$D$6:$D$305,"&lt;&gt;Proposed"),0)</f>
        <v/>
      </c>
      <c r="W161" s="28">
        <f>IF(AND($A161&lt;&gt;"",$B161="Program"),COUNTIFS($C$6:$C$305,$A161,$B$6:$B$305,"Project",$D$6:$D$305,"&lt;&gt;Proposed")-COUNTIFS($C$6:$C$305,$A161,$B$6:$B$305,"Project",$D$6:$D$305,"&lt;&gt;Proposed",$J$6:$J$305,"&gt;=0"),0)</f>
        <v/>
      </c>
      <c r="X161" s="28">
        <f>IF(OR($Q161=0,$H161="",$AF161="Sprint"),0,IF(AND($B161="Project",$H161&lt;TODAY()),3,IF($U161="",0,IF($U161&lt;=$H161,1,IF(NETWORKDAYS($H161,$U161)-1&gt;IF($B161="Program",Checks!$B$7,Checks!$B$6),3,2)))))</f>
        <v/>
      </c>
      <c r="Y161" s="28">
        <f>IF(OR($Q161=0,$K161="",$K161=0,$AF161="Sprint"),0,IF(AND($B161="Project",$J161=""),0,IF(IF($B161="Program",$V161,$J161)&gt;$K161*(1+Checks!$B$8),3,IF(IF($B161="Program",$V161,$J161)&gt;$K161,2,IF(AND($B161="Program",OR($W161&gt;0,$V161=0)),0,1)))))</f>
        <v/>
      </c>
      <c r="Z161" s="28">
        <f>IF($A161="",0,IF($C161="Portfolio",1,IF(AND($B161="Project",$C161&lt;&gt;"",$C161&lt;&gt;"Outside the portfolio"),IFERROR(IF(AND(INDEX($B$6:$B$305,MATCH($C161,$A$6:$A$305,0))="Program",INDEX($C$6:$C$305,MATCH($C161,$A$6:$A$305,0))="Portfolio"),1,0),0),0)))</f>
        <v/>
      </c>
      <c r="AA161" s="28">
        <f>IF(AND($A161&lt;&gt;"",$E161="",OR($Q161=1,$D161="Proposed")),1,0)</f>
        <v/>
      </c>
      <c r="AB161" s="28">
        <f>IF(AND($A161&lt;&gt;"",$B161="Program",$F161="",$Q161=1),1,0)</f>
        <v/>
      </c>
      <c r="AC161" s="28">
        <f>IF(OR($A161="",$D161="Completed",$D161="Terminated"),0,IF($C161="",1,IF($C161="Portfolio",0,IF($C161="Outside the portfolio",IF($Q161=1,2,0),IF($B161="Project",IF(IFERROR(INDEX($B$6:$B$305,MATCH($C161,$A$6:$A$305,0)),"")="Program",0,1),1)))))</f>
        <v/>
      </c>
      <c r="AD161" s="28">
        <f>IF(AND($A161&lt;&gt;"",OR($M161="■ Red",$M161="◧ Amber"),$L161=""),1,0)</f>
        <v/>
      </c>
      <c r="AE161" s="28">
        <f>$AA161+$AB161+IF($AC161&gt;0,1,0)+$AD161+$AG161+$AH161</f>
        <v/>
      </c>
      <c r="AF161" s="25" t="n"/>
      <c r="AG161" s="28">
        <f>IF(AND($A161&lt;&gt;"",$K161&lt;&gt;"",$C161&lt;&gt;"Portfolio",$D161&lt;&gt;"Completed",$D161&lt;&gt;"Terminated"),1,0)</f>
        <v/>
      </c>
      <c r="AH161" s="28">
        <f>IF(AND($A161&lt;&gt;"",COUNTIF($A$6:$A$305,$A161)&gt;1),1,0)</f>
        <v/>
      </c>
      <c r="AI161" s="28">
        <f>IF(AND($A161&lt;&gt;"",$C161="Portfolio"),COUNTIFS($C$6:$C161,"Portfolio",$A$6:$A161,"&lt;&gt;"),"")</f>
        <v/>
      </c>
    </row>
    <row r="162">
      <c r="A162" s="25" t="n"/>
      <c r="B162" s="25" t="n"/>
      <c r="C162" s="25" t="n"/>
      <c r="D162" s="25" t="n"/>
      <c r="E162" s="25" t="n"/>
      <c r="F162" s="25" t="n"/>
      <c r="G162" s="25" t="n"/>
      <c r="H162" s="26" t="n"/>
      <c r="I162" s="26" t="n"/>
      <c r="J162" s="27" t="n"/>
      <c r="K162" s="27" t="n"/>
      <c r="L162" s="23" t="n"/>
      <c r="M162" s="28">
        <f>IF($A162="","",IF($D162="","Not read",IF($Q162=0,"Not counted",IF(MAX($X162,$Y162)=3,"■ Red",IF(MAX($X162,$Y162)=2,"◧ Amber",IF(MAX($X162,$Y162)=1,"□ On track","Not read"))))))</f>
        <v/>
      </c>
      <c r="N162" s="28">
        <f>IF(OR($A162="",$B162&lt;&gt;"Program"),"","■ "&amp;COUNTIFS($C$6:$C$305,$A162,$M$6:$M$305,"■ Red")&amp;" Red, ◧ "&amp;COUNTIFS($C$6:$C$305,$A162,$M$6:$M$305,"◧ Amber")&amp;" Amber")</f>
        <v/>
      </c>
      <c r="O162" s="29">
        <f>IF(OR($A162="",$E162=""),"",COUNTIFS($E$6:$E$305,$E162,$D$6:$D$305,"Active")+COUNTIFS($E$6:$E$305,$E162,$D$6:$D$305,"Paused"))</f>
        <v/>
      </c>
      <c r="P162" s="28">
        <f>IF($A162="","",IF($AE162=0,"○ Clear",IF($AA162=1,"△ No owner",IF($AC162=1,"△ Check Sits under",IF($AC162=2,"△ Outside the portfolio",IF($AB162=1,"△ No sponsor",IF($AH162=1,"△ Name used twice",IF($AG162=1,"△ Budget only counts under Portfolio","△ No variance note"))))))&amp;IF($AE162&gt;1," (+"&amp;($AE162-1)&amp;" more)","")))</f>
        <v/>
      </c>
      <c r="Q162" s="28">
        <f>IF(AND($A162&lt;&gt;"",OR($D162="Active",$D162="Paused")),1,0)</f>
        <v/>
      </c>
      <c r="R162" s="28">
        <f>IFERROR(INDEX($A$6:$A$305,MATCH(155,$S$6:$S$305,0)),"")</f>
        <v/>
      </c>
      <c r="S162" s="28">
        <f>IF(AND($A162&lt;&gt;"",$B162="Program"),COUNTIFS($B$6:$B162,"Program",$A$6:$A162,"&lt;&gt;"),"")</f>
        <v/>
      </c>
      <c r="T162" s="30">
        <f>IF(AND($A162&lt;&gt;"",$B162="Program"),SUMPRODUCT(MAX(($C$6:$C$305=$A162)*($B$6:$B$305="Project")*($D$6:$D$305&lt;&gt;"Proposed")*$I$6:$I$305)),0)</f>
        <v/>
      </c>
      <c r="U162" s="30">
        <f>IF($I162&lt;&gt;"",$I162,IF($T162&gt;0,$T162,""))</f>
        <v/>
      </c>
      <c r="V162" s="28">
        <f>IF(AND($A162&lt;&gt;"",$B162="Program"),SUMIFS($J$6:$J$305,$C$6:$C$305,$A162,$B$6:$B$305,"Project",$D$6:$D$305,"&lt;&gt;Proposed"),0)</f>
        <v/>
      </c>
      <c r="W162" s="28">
        <f>IF(AND($A162&lt;&gt;"",$B162="Program"),COUNTIFS($C$6:$C$305,$A162,$B$6:$B$305,"Project",$D$6:$D$305,"&lt;&gt;Proposed")-COUNTIFS($C$6:$C$305,$A162,$B$6:$B$305,"Project",$D$6:$D$305,"&lt;&gt;Proposed",$J$6:$J$305,"&gt;=0"),0)</f>
        <v/>
      </c>
      <c r="X162" s="28">
        <f>IF(OR($Q162=0,$H162="",$AF162="Sprint"),0,IF(AND($B162="Project",$H162&lt;TODAY()),3,IF($U162="",0,IF($U162&lt;=$H162,1,IF(NETWORKDAYS($H162,$U162)-1&gt;IF($B162="Program",Checks!$B$7,Checks!$B$6),3,2)))))</f>
        <v/>
      </c>
      <c r="Y162" s="28">
        <f>IF(OR($Q162=0,$K162="",$K162=0,$AF162="Sprint"),0,IF(AND($B162="Project",$J162=""),0,IF(IF($B162="Program",$V162,$J162)&gt;$K162*(1+Checks!$B$8),3,IF(IF($B162="Program",$V162,$J162)&gt;$K162,2,IF(AND($B162="Program",OR($W162&gt;0,$V162=0)),0,1)))))</f>
        <v/>
      </c>
      <c r="Z162" s="28">
        <f>IF($A162="",0,IF($C162="Portfolio",1,IF(AND($B162="Project",$C162&lt;&gt;"",$C162&lt;&gt;"Outside the portfolio"),IFERROR(IF(AND(INDEX($B$6:$B$305,MATCH($C162,$A$6:$A$305,0))="Program",INDEX($C$6:$C$305,MATCH($C162,$A$6:$A$305,0))="Portfolio"),1,0),0),0)))</f>
        <v/>
      </c>
      <c r="AA162" s="28">
        <f>IF(AND($A162&lt;&gt;"",$E162="",OR($Q162=1,$D162="Proposed")),1,0)</f>
        <v/>
      </c>
      <c r="AB162" s="28">
        <f>IF(AND($A162&lt;&gt;"",$B162="Program",$F162="",$Q162=1),1,0)</f>
        <v/>
      </c>
      <c r="AC162" s="28">
        <f>IF(OR($A162="",$D162="Completed",$D162="Terminated"),0,IF($C162="",1,IF($C162="Portfolio",0,IF($C162="Outside the portfolio",IF($Q162=1,2,0),IF($B162="Project",IF(IFERROR(INDEX($B$6:$B$305,MATCH($C162,$A$6:$A$305,0)),"")="Program",0,1),1)))))</f>
        <v/>
      </c>
      <c r="AD162" s="28">
        <f>IF(AND($A162&lt;&gt;"",OR($M162="■ Red",$M162="◧ Amber"),$L162=""),1,0)</f>
        <v/>
      </c>
      <c r="AE162" s="28">
        <f>$AA162+$AB162+IF($AC162&gt;0,1,0)+$AD162+$AG162+$AH162</f>
        <v/>
      </c>
      <c r="AF162" s="25" t="n"/>
      <c r="AG162" s="28">
        <f>IF(AND($A162&lt;&gt;"",$K162&lt;&gt;"",$C162&lt;&gt;"Portfolio",$D162&lt;&gt;"Completed",$D162&lt;&gt;"Terminated"),1,0)</f>
        <v/>
      </c>
      <c r="AH162" s="28">
        <f>IF(AND($A162&lt;&gt;"",COUNTIF($A$6:$A$305,$A162)&gt;1),1,0)</f>
        <v/>
      </c>
      <c r="AI162" s="28">
        <f>IF(AND($A162&lt;&gt;"",$C162="Portfolio"),COUNTIFS($C$6:$C162,"Portfolio",$A$6:$A162,"&lt;&gt;"),"")</f>
        <v/>
      </c>
    </row>
    <row r="163">
      <c r="A163" s="25" t="n"/>
      <c r="B163" s="25" t="n"/>
      <c r="C163" s="25" t="n"/>
      <c r="D163" s="25" t="n"/>
      <c r="E163" s="25" t="n"/>
      <c r="F163" s="25" t="n"/>
      <c r="G163" s="25" t="n"/>
      <c r="H163" s="26" t="n"/>
      <c r="I163" s="26" t="n"/>
      <c r="J163" s="27" t="n"/>
      <c r="K163" s="27" t="n"/>
      <c r="L163" s="23" t="n"/>
      <c r="M163" s="28">
        <f>IF($A163="","",IF($D163="","Not read",IF($Q163=0,"Not counted",IF(MAX($X163,$Y163)=3,"■ Red",IF(MAX($X163,$Y163)=2,"◧ Amber",IF(MAX($X163,$Y163)=1,"□ On track","Not read"))))))</f>
        <v/>
      </c>
      <c r="N163" s="28">
        <f>IF(OR($A163="",$B163&lt;&gt;"Program"),"","■ "&amp;COUNTIFS($C$6:$C$305,$A163,$M$6:$M$305,"■ Red")&amp;" Red, ◧ "&amp;COUNTIFS($C$6:$C$305,$A163,$M$6:$M$305,"◧ Amber")&amp;" Amber")</f>
        <v/>
      </c>
      <c r="O163" s="29">
        <f>IF(OR($A163="",$E163=""),"",COUNTIFS($E$6:$E$305,$E163,$D$6:$D$305,"Active")+COUNTIFS($E$6:$E$305,$E163,$D$6:$D$305,"Paused"))</f>
        <v/>
      </c>
      <c r="P163" s="28">
        <f>IF($A163="","",IF($AE163=0,"○ Clear",IF($AA163=1,"△ No owner",IF($AC163=1,"△ Check Sits under",IF($AC163=2,"△ Outside the portfolio",IF($AB163=1,"△ No sponsor",IF($AH163=1,"△ Name used twice",IF($AG163=1,"△ Budget only counts under Portfolio","△ No variance note"))))))&amp;IF($AE163&gt;1," (+"&amp;($AE163-1)&amp;" more)","")))</f>
        <v/>
      </c>
      <c r="Q163" s="28">
        <f>IF(AND($A163&lt;&gt;"",OR($D163="Active",$D163="Paused")),1,0)</f>
        <v/>
      </c>
      <c r="R163" s="28">
        <f>IFERROR(INDEX($A$6:$A$305,MATCH(156,$S$6:$S$305,0)),"")</f>
        <v/>
      </c>
      <c r="S163" s="28">
        <f>IF(AND($A163&lt;&gt;"",$B163="Program"),COUNTIFS($B$6:$B163,"Program",$A$6:$A163,"&lt;&gt;"),"")</f>
        <v/>
      </c>
      <c r="T163" s="30">
        <f>IF(AND($A163&lt;&gt;"",$B163="Program"),SUMPRODUCT(MAX(($C$6:$C$305=$A163)*($B$6:$B$305="Project")*($D$6:$D$305&lt;&gt;"Proposed")*$I$6:$I$305)),0)</f>
        <v/>
      </c>
      <c r="U163" s="30">
        <f>IF($I163&lt;&gt;"",$I163,IF($T163&gt;0,$T163,""))</f>
        <v/>
      </c>
      <c r="V163" s="28">
        <f>IF(AND($A163&lt;&gt;"",$B163="Program"),SUMIFS($J$6:$J$305,$C$6:$C$305,$A163,$B$6:$B$305,"Project",$D$6:$D$305,"&lt;&gt;Proposed"),0)</f>
        <v/>
      </c>
      <c r="W163" s="28">
        <f>IF(AND($A163&lt;&gt;"",$B163="Program"),COUNTIFS($C$6:$C$305,$A163,$B$6:$B$305,"Project",$D$6:$D$305,"&lt;&gt;Proposed")-COUNTIFS($C$6:$C$305,$A163,$B$6:$B$305,"Project",$D$6:$D$305,"&lt;&gt;Proposed",$J$6:$J$305,"&gt;=0"),0)</f>
        <v/>
      </c>
      <c r="X163" s="28">
        <f>IF(OR($Q163=0,$H163="",$AF163="Sprint"),0,IF(AND($B163="Project",$H163&lt;TODAY()),3,IF($U163="",0,IF($U163&lt;=$H163,1,IF(NETWORKDAYS($H163,$U163)-1&gt;IF($B163="Program",Checks!$B$7,Checks!$B$6),3,2)))))</f>
        <v/>
      </c>
      <c r="Y163" s="28">
        <f>IF(OR($Q163=0,$K163="",$K163=0,$AF163="Sprint"),0,IF(AND($B163="Project",$J163=""),0,IF(IF($B163="Program",$V163,$J163)&gt;$K163*(1+Checks!$B$8),3,IF(IF($B163="Program",$V163,$J163)&gt;$K163,2,IF(AND($B163="Program",OR($W163&gt;0,$V163=0)),0,1)))))</f>
        <v/>
      </c>
      <c r="Z163" s="28">
        <f>IF($A163="",0,IF($C163="Portfolio",1,IF(AND($B163="Project",$C163&lt;&gt;"",$C163&lt;&gt;"Outside the portfolio"),IFERROR(IF(AND(INDEX($B$6:$B$305,MATCH($C163,$A$6:$A$305,0))="Program",INDEX($C$6:$C$305,MATCH($C163,$A$6:$A$305,0))="Portfolio"),1,0),0),0)))</f>
        <v/>
      </c>
      <c r="AA163" s="28">
        <f>IF(AND($A163&lt;&gt;"",$E163="",OR($Q163=1,$D163="Proposed")),1,0)</f>
        <v/>
      </c>
      <c r="AB163" s="28">
        <f>IF(AND($A163&lt;&gt;"",$B163="Program",$F163="",$Q163=1),1,0)</f>
        <v/>
      </c>
      <c r="AC163" s="28">
        <f>IF(OR($A163="",$D163="Completed",$D163="Terminated"),0,IF($C163="",1,IF($C163="Portfolio",0,IF($C163="Outside the portfolio",IF($Q163=1,2,0),IF($B163="Project",IF(IFERROR(INDEX($B$6:$B$305,MATCH($C163,$A$6:$A$305,0)),"")="Program",0,1),1)))))</f>
        <v/>
      </c>
      <c r="AD163" s="28">
        <f>IF(AND($A163&lt;&gt;"",OR($M163="■ Red",$M163="◧ Amber"),$L163=""),1,0)</f>
        <v/>
      </c>
      <c r="AE163" s="28">
        <f>$AA163+$AB163+IF($AC163&gt;0,1,0)+$AD163+$AG163+$AH163</f>
        <v/>
      </c>
      <c r="AF163" s="25" t="n"/>
      <c r="AG163" s="28">
        <f>IF(AND($A163&lt;&gt;"",$K163&lt;&gt;"",$C163&lt;&gt;"Portfolio",$D163&lt;&gt;"Completed",$D163&lt;&gt;"Terminated"),1,0)</f>
        <v/>
      </c>
      <c r="AH163" s="28">
        <f>IF(AND($A163&lt;&gt;"",COUNTIF($A$6:$A$305,$A163)&gt;1),1,0)</f>
        <v/>
      </c>
      <c r="AI163" s="28">
        <f>IF(AND($A163&lt;&gt;"",$C163="Portfolio"),COUNTIFS($C$6:$C163,"Portfolio",$A$6:$A163,"&lt;&gt;"),"")</f>
        <v/>
      </c>
    </row>
    <row r="164">
      <c r="A164" s="25" t="n"/>
      <c r="B164" s="25" t="n"/>
      <c r="C164" s="25" t="n"/>
      <c r="D164" s="25" t="n"/>
      <c r="E164" s="25" t="n"/>
      <c r="F164" s="25" t="n"/>
      <c r="G164" s="25" t="n"/>
      <c r="H164" s="26" t="n"/>
      <c r="I164" s="26" t="n"/>
      <c r="J164" s="27" t="n"/>
      <c r="K164" s="27" t="n"/>
      <c r="L164" s="23" t="n"/>
      <c r="M164" s="28">
        <f>IF($A164="","",IF($D164="","Not read",IF($Q164=0,"Not counted",IF(MAX($X164,$Y164)=3,"■ Red",IF(MAX($X164,$Y164)=2,"◧ Amber",IF(MAX($X164,$Y164)=1,"□ On track","Not read"))))))</f>
        <v/>
      </c>
      <c r="N164" s="28">
        <f>IF(OR($A164="",$B164&lt;&gt;"Program"),"","■ "&amp;COUNTIFS($C$6:$C$305,$A164,$M$6:$M$305,"■ Red")&amp;" Red, ◧ "&amp;COUNTIFS($C$6:$C$305,$A164,$M$6:$M$305,"◧ Amber")&amp;" Amber")</f>
        <v/>
      </c>
      <c r="O164" s="29">
        <f>IF(OR($A164="",$E164=""),"",COUNTIFS($E$6:$E$305,$E164,$D$6:$D$305,"Active")+COUNTIFS($E$6:$E$305,$E164,$D$6:$D$305,"Paused"))</f>
        <v/>
      </c>
      <c r="P164" s="28">
        <f>IF($A164="","",IF($AE164=0,"○ Clear",IF($AA164=1,"△ No owner",IF($AC164=1,"△ Check Sits under",IF($AC164=2,"△ Outside the portfolio",IF($AB164=1,"△ No sponsor",IF($AH164=1,"△ Name used twice",IF($AG164=1,"△ Budget only counts under Portfolio","△ No variance note"))))))&amp;IF($AE164&gt;1," (+"&amp;($AE164-1)&amp;" more)","")))</f>
        <v/>
      </c>
      <c r="Q164" s="28">
        <f>IF(AND($A164&lt;&gt;"",OR($D164="Active",$D164="Paused")),1,0)</f>
        <v/>
      </c>
      <c r="R164" s="28">
        <f>IFERROR(INDEX($A$6:$A$305,MATCH(157,$S$6:$S$305,0)),"")</f>
        <v/>
      </c>
      <c r="S164" s="28">
        <f>IF(AND($A164&lt;&gt;"",$B164="Program"),COUNTIFS($B$6:$B164,"Program",$A$6:$A164,"&lt;&gt;"),"")</f>
        <v/>
      </c>
      <c r="T164" s="30">
        <f>IF(AND($A164&lt;&gt;"",$B164="Program"),SUMPRODUCT(MAX(($C$6:$C$305=$A164)*($B$6:$B$305="Project")*($D$6:$D$305&lt;&gt;"Proposed")*$I$6:$I$305)),0)</f>
        <v/>
      </c>
      <c r="U164" s="30">
        <f>IF($I164&lt;&gt;"",$I164,IF($T164&gt;0,$T164,""))</f>
        <v/>
      </c>
      <c r="V164" s="28">
        <f>IF(AND($A164&lt;&gt;"",$B164="Program"),SUMIFS($J$6:$J$305,$C$6:$C$305,$A164,$B$6:$B$305,"Project",$D$6:$D$305,"&lt;&gt;Proposed"),0)</f>
        <v/>
      </c>
      <c r="W164" s="28">
        <f>IF(AND($A164&lt;&gt;"",$B164="Program"),COUNTIFS($C$6:$C$305,$A164,$B$6:$B$305,"Project",$D$6:$D$305,"&lt;&gt;Proposed")-COUNTIFS($C$6:$C$305,$A164,$B$6:$B$305,"Project",$D$6:$D$305,"&lt;&gt;Proposed",$J$6:$J$305,"&gt;=0"),0)</f>
        <v/>
      </c>
      <c r="X164" s="28">
        <f>IF(OR($Q164=0,$H164="",$AF164="Sprint"),0,IF(AND($B164="Project",$H164&lt;TODAY()),3,IF($U164="",0,IF($U164&lt;=$H164,1,IF(NETWORKDAYS($H164,$U164)-1&gt;IF($B164="Program",Checks!$B$7,Checks!$B$6),3,2)))))</f>
        <v/>
      </c>
      <c r="Y164" s="28">
        <f>IF(OR($Q164=0,$K164="",$K164=0,$AF164="Sprint"),0,IF(AND($B164="Project",$J164=""),0,IF(IF($B164="Program",$V164,$J164)&gt;$K164*(1+Checks!$B$8),3,IF(IF($B164="Program",$V164,$J164)&gt;$K164,2,IF(AND($B164="Program",OR($W164&gt;0,$V164=0)),0,1)))))</f>
        <v/>
      </c>
      <c r="Z164" s="28">
        <f>IF($A164="",0,IF($C164="Portfolio",1,IF(AND($B164="Project",$C164&lt;&gt;"",$C164&lt;&gt;"Outside the portfolio"),IFERROR(IF(AND(INDEX($B$6:$B$305,MATCH($C164,$A$6:$A$305,0))="Program",INDEX($C$6:$C$305,MATCH($C164,$A$6:$A$305,0))="Portfolio"),1,0),0),0)))</f>
        <v/>
      </c>
      <c r="AA164" s="28">
        <f>IF(AND($A164&lt;&gt;"",$E164="",OR($Q164=1,$D164="Proposed")),1,0)</f>
        <v/>
      </c>
      <c r="AB164" s="28">
        <f>IF(AND($A164&lt;&gt;"",$B164="Program",$F164="",$Q164=1),1,0)</f>
        <v/>
      </c>
      <c r="AC164" s="28">
        <f>IF(OR($A164="",$D164="Completed",$D164="Terminated"),0,IF($C164="",1,IF($C164="Portfolio",0,IF($C164="Outside the portfolio",IF($Q164=1,2,0),IF($B164="Project",IF(IFERROR(INDEX($B$6:$B$305,MATCH($C164,$A$6:$A$305,0)),"")="Program",0,1),1)))))</f>
        <v/>
      </c>
      <c r="AD164" s="28">
        <f>IF(AND($A164&lt;&gt;"",OR($M164="■ Red",$M164="◧ Amber"),$L164=""),1,0)</f>
        <v/>
      </c>
      <c r="AE164" s="28">
        <f>$AA164+$AB164+IF($AC164&gt;0,1,0)+$AD164+$AG164+$AH164</f>
        <v/>
      </c>
      <c r="AF164" s="25" t="n"/>
      <c r="AG164" s="28">
        <f>IF(AND($A164&lt;&gt;"",$K164&lt;&gt;"",$C164&lt;&gt;"Portfolio",$D164&lt;&gt;"Completed",$D164&lt;&gt;"Terminated"),1,0)</f>
        <v/>
      </c>
      <c r="AH164" s="28">
        <f>IF(AND($A164&lt;&gt;"",COUNTIF($A$6:$A$305,$A164)&gt;1),1,0)</f>
        <v/>
      </c>
      <c r="AI164" s="28">
        <f>IF(AND($A164&lt;&gt;"",$C164="Portfolio"),COUNTIFS($C$6:$C164,"Portfolio",$A$6:$A164,"&lt;&gt;"),"")</f>
        <v/>
      </c>
    </row>
    <row r="165">
      <c r="A165" s="25" t="n"/>
      <c r="B165" s="25" t="n"/>
      <c r="C165" s="25" t="n"/>
      <c r="D165" s="25" t="n"/>
      <c r="E165" s="25" t="n"/>
      <c r="F165" s="25" t="n"/>
      <c r="G165" s="25" t="n"/>
      <c r="H165" s="26" t="n"/>
      <c r="I165" s="26" t="n"/>
      <c r="J165" s="27" t="n"/>
      <c r="K165" s="27" t="n"/>
      <c r="L165" s="23" t="n"/>
      <c r="M165" s="28">
        <f>IF($A165="","",IF($D165="","Not read",IF($Q165=0,"Not counted",IF(MAX($X165,$Y165)=3,"■ Red",IF(MAX($X165,$Y165)=2,"◧ Amber",IF(MAX($X165,$Y165)=1,"□ On track","Not read"))))))</f>
        <v/>
      </c>
      <c r="N165" s="28">
        <f>IF(OR($A165="",$B165&lt;&gt;"Program"),"","■ "&amp;COUNTIFS($C$6:$C$305,$A165,$M$6:$M$305,"■ Red")&amp;" Red, ◧ "&amp;COUNTIFS($C$6:$C$305,$A165,$M$6:$M$305,"◧ Amber")&amp;" Amber")</f>
        <v/>
      </c>
      <c r="O165" s="29">
        <f>IF(OR($A165="",$E165=""),"",COUNTIFS($E$6:$E$305,$E165,$D$6:$D$305,"Active")+COUNTIFS($E$6:$E$305,$E165,$D$6:$D$305,"Paused"))</f>
        <v/>
      </c>
      <c r="P165" s="28">
        <f>IF($A165="","",IF($AE165=0,"○ Clear",IF($AA165=1,"△ No owner",IF($AC165=1,"△ Check Sits under",IF($AC165=2,"△ Outside the portfolio",IF($AB165=1,"△ No sponsor",IF($AH165=1,"△ Name used twice",IF($AG165=1,"△ Budget only counts under Portfolio","△ No variance note"))))))&amp;IF($AE165&gt;1," (+"&amp;($AE165-1)&amp;" more)","")))</f>
        <v/>
      </c>
      <c r="Q165" s="28">
        <f>IF(AND($A165&lt;&gt;"",OR($D165="Active",$D165="Paused")),1,0)</f>
        <v/>
      </c>
      <c r="R165" s="28">
        <f>IFERROR(INDEX($A$6:$A$305,MATCH(158,$S$6:$S$305,0)),"")</f>
        <v/>
      </c>
      <c r="S165" s="28">
        <f>IF(AND($A165&lt;&gt;"",$B165="Program"),COUNTIFS($B$6:$B165,"Program",$A$6:$A165,"&lt;&gt;"),"")</f>
        <v/>
      </c>
      <c r="T165" s="30">
        <f>IF(AND($A165&lt;&gt;"",$B165="Program"),SUMPRODUCT(MAX(($C$6:$C$305=$A165)*($B$6:$B$305="Project")*($D$6:$D$305&lt;&gt;"Proposed")*$I$6:$I$305)),0)</f>
        <v/>
      </c>
      <c r="U165" s="30">
        <f>IF($I165&lt;&gt;"",$I165,IF($T165&gt;0,$T165,""))</f>
        <v/>
      </c>
      <c r="V165" s="28">
        <f>IF(AND($A165&lt;&gt;"",$B165="Program"),SUMIFS($J$6:$J$305,$C$6:$C$305,$A165,$B$6:$B$305,"Project",$D$6:$D$305,"&lt;&gt;Proposed"),0)</f>
        <v/>
      </c>
      <c r="W165" s="28">
        <f>IF(AND($A165&lt;&gt;"",$B165="Program"),COUNTIFS($C$6:$C$305,$A165,$B$6:$B$305,"Project",$D$6:$D$305,"&lt;&gt;Proposed")-COUNTIFS($C$6:$C$305,$A165,$B$6:$B$305,"Project",$D$6:$D$305,"&lt;&gt;Proposed",$J$6:$J$305,"&gt;=0"),0)</f>
        <v/>
      </c>
      <c r="X165" s="28">
        <f>IF(OR($Q165=0,$H165="",$AF165="Sprint"),0,IF(AND($B165="Project",$H165&lt;TODAY()),3,IF($U165="",0,IF($U165&lt;=$H165,1,IF(NETWORKDAYS($H165,$U165)-1&gt;IF($B165="Program",Checks!$B$7,Checks!$B$6),3,2)))))</f>
        <v/>
      </c>
      <c r="Y165" s="28">
        <f>IF(OR($Q165=0,$K165="",$K165=0,$AF165="Sprint"),0,IF(AND($B165="Project",$J165=""),0,IF(IF($B165="Program",$V165,$J165)&gt;$K165*(1+Checks!$B$8),3,IF(IF($B165="Program",$V165,$J165)&gt;$K165,2,IF(AND($B165="Program",OR($W165&gt;0,$V165=0)),0,1)))))</f>
        <v/>
      </c>
      <c r="Z165" s="28">
        <f>IF($A165="",0,IF($C165="Portfolio",1,IF(AND($B165="Project",$C165&lt;&gt;"",$C165&lt;&gt;"Outside the portfolio"),IFERROR(IF(AND(INDEX($B$6:$B$305,MATCH($C165,$A$6:$A$305,0))="Program",INDEX($C$6:$C$305,MATCH($C165,$A$6:$A$305,0))="Portfolio"),1,0),0),0)))</f>
        <v/>
      </c>
      <c r="AA165" s="28">
        <f>IF(AND($A165&lt;&gt;"",$E165="",OR($Q165=1,$D165="Proposed")),1,0)</f>
        <v/>
      </c>
      <c r="AB165" s="28">
        <f>IF(AND($A165&lt;&gt;"",$B165="Program",$F165="",$Q165=1),1,0)</f>
        <v/>
      </c>
      <c r="AC165" s="28">
        <f>IF(OR($A165="",$D165="Completed",$D165="Terminated"),0,IF($C165="",1,IF($C165="Portfolio",0,IF($C165="Outside the portfolio",IF($Q165=1,2,0),IF($B165="Project",IF(IFERROR(INDEX($B$6:$B$305,MATCH($C165,$A$6:$A$305,0)),"")="Program",0,1),1)))))</f>
        <v/>
      </c>
      <c r="AD165" s="28">
        <f>IF(AND($A165&lt;&gt;"",OR($M165="■ Red",$M165="◧ Amber"),$L165=""),1,0)</f>
        <v/>
      </c>
      <c r="AE165" s="28">
        <f>$AA165+$AB165+IF($AC165&gt;0,1,0)+$AD165+$AG165+$AH165</f>
        <v/>
      </c>
      <c r="AF165" s="25" t="n"/>
      <c r="AG165" s="28">
        <f>IF(AND($A165&lt;&gt;"",$K165&lt;&gt;"",$C165&lt;&gt;"Portfolio",$D165&lt;&gt;"Completed",$D165&lt;&gt;"Terminated"),1,0)</f>
        <v/>
      </c>
      <c r="AH165" s="28">
        <f>IF(AND($A165&lt;&gt;"",COUNTIF($A$6:$A$305,$A165)&gt;1),1,0)</f>
        <v/>
      </c>
      <c r="AI165" s="28">
        <f>IF(AND($A165&lt;&gt;"",$C165="Portfolio"),COUNTIFS($C$6:$C165,"Portfolio",$A$6:$A165,"&lt;&gt;"),"")</f>
        <v/>
      </c>
    </row>
    <row r="166">
      <c r="A166" s="25" t="n"/>
      <c r="B166" s="25" t="n"/>
      <c r="C166" s="25" t="n"/>
      <c r="D166" s="25" t="n"/>
      <c r="E166" s="25" t="n"/>
      <c r="F166" s="25" t="n"/>
      <c r="G166" s="25" t="n"/>
      <c r="H166" s="26" t="n"/>
      <c r="I166" s="26" t="n"/>
      <c r="J166" s="27" t="n"/>
      <c r="K166" s="27" t="n"/>
      <c r="L166" s="23" t="n"/>
      <c r="M166" s="28">
        <f>IF($A166="","",IF($D166="","Not read",IF($Q166=0,"Not counted",IF(MAX($X166,$Y166)=3,"■ Red",IF(MAX($X166,$Y166)=2,"◧ Amber",IF(MAX($X166,$Y166)=1,"□ On track","Not read"))))))</f>
        <v/>
      </c>
      <c r="N166" s="28">
        <f>IF(OR($A166="",$B166&lt;&gt;"Program"),"","■ "&amp;COUNTIFS($C$6:$C$305,$A166,$M$6:$M$305,"■ Red")&amp;" Red, ◧ "&amp;COUNTIFS($C$6:$C$305,$A166,$M$6:$M$305,"◧ Amber")&amp;" Amber")</f>
        <v/>
      </c>
      <c r="O166" s="29">
        <f>IF(OR($A166="",$E166=""),"",COUNTIFS($E$6:$E$305,$E166,$D$6:$D$305,"Active")+COUNTIFS($E$6:$E$305,$E166,$D$6:$D$305,"Paused"))</f>
        <v/>
      </c>
      <c r="P166" s="28">
        <f>IF($A166="","",IF($AE166=0,"○ Clear",IF($AA166=1,"△ No owner",IF($AC166=1,"△ Check Sits under",IF($AC166=2,"△ Outside the portfolio",IF($AB166=1,"△ No sponsor",IF($AH166=1,"△ Name used twice",IF($AG166=1,"△ Budget only counts under Portfolio","△ No variance note"))))))&amp;IF($AE166&gt;1," (+"&amp;($AE166-1)&amp;" more)","")))</f>
        <v/>
      </c>
      <c r="Q166" s="28">
        <f>IF(AND($A166&lt;&gt;"",OR($D166="Active",$D166="Paused")),1,0)</f>
        <v/>
      </c>
      <c r="R166" s="28">
        <f>IFERROR(INDEX($A$6:$A$305,MATCH(159,$S$6:$S$305,0)),"")</f>
        <v/>
      </c>
      <c r="S166" s="28">
        <f>IF(AND($A166&lt;&gt;"",$B166="Program"),COUNTIFS($B$6:$B166,"Program",$A$6:$A166,"&lt;&gt;"),"")</f>
        <v/>
      </c>
      <c r="T166" s="30">
        <f>IF(AND($A166&lt;&gt;"",$B166="Program"),SUMPRODUCT(MAX(($C$6:$C$305=$A166)*($B$6:$B$305="Project")*($D$6:$D$305&lt;&gt;"Proposed")*$I$6:$I$305)),0)</f>
        <v/>
      </c>
      <c r="U166" s="30">
        <f>IF($I166&lt;&gt;"",$I166,IF($T166&gt;0,$T166,""))</f>
        <v/>
      </c>
      <c r="V166" s="28">
        <f>IF(AND($A166&lt;&gt;"",$B166="Program"),SUMIFS($J$6:$J$305,$C$6:$C$305,$A166,$B$6:$B$305,"Project",$D$6:$D$305,"&lt;&gt;Proposed"),0)</f>
        <v/>
      </c>
      <c r="W166" s="28">
        <f>IF(AND($A166&lt;&gt;"",$B166="Program"),COUNTIFS($C$6:$C$305,$A166,$B$6:$B$305,"Project",$D$6:$D$305,"&lt;&gt;Proposed")-COUNTIFS($C$6:$C$305,$A166,$B$6:$B$305,"Project",$D$6:$D$305,"&lt;&gt;Proposed",$J$6:$J$305,"&gt;=0"),0)</f>
        <v/>
      </c>
      <c r="X166" s="28">
        <f>IF(OR($Q166=0,$H166="",$AF166="Sprint"),0,IF(AND($B166="Project",$H166&lt;TODAY()),3,IF($U166="",0,IF($U166&lt;=$H166,1,IF(NETWORKDAYS($H166,$U166)-1&gt;IF($B166="Program",Checks!$B$7,Checks!$B$6),3,2)))))</f>
        <v/>
      </c>
      <c r="Y166" s="28">
        <f>IF(OR($Q166=0,$K166="",$K166=0,$AF166="Sprint"),0,IF(AND($B166="Project",$J166=""),0,IF(IF($B166="Program",$V166,$J166)&gt;$K166*(1+Checks!$B$8),3,IF(IF($B166="Program",$V166,$J166)&gt;$K166,2,IF(AND($B166="Program",OR($W166&gt;0,$V166=0)),0,1)))))</f>
        <v/>
      </c>
      <c r="Z166" s="28">
        <f>IF($A166="",0,IF($C166="Portfolio",1,IF(AND($B166="Project",$C166&lt;&gt;"",$C166&lt;&gt;"Outside the portfolio"),IFERROR(IF(AND(INDEX($B$6:$B$305,MATCH($C166,$A$6:$A$305,0))="Program",INDEX($C$6:$C$305,MATCH($C166,$A$6:$A$305,0))="Portfolio"),1,0),0),0)))</f>
        <v/>
      </c>
      <c r="AA166" s="28">
        <f>IF(AND($A166&lt;&gt;"",$E166="",OR($Q166=1,$D166="Proposed")),1,0)</f>
        <v/>
      </c>
      <c r="AB166" s="28">
        <f>IF(AND($A166&lt;&gt;"",$B166="Program",$F166="",$Q166=1),1,0)</f>
        <v/>
      </c>
      <c r="AC166" s="28">
        <f>IF(OR($A166="",$D166="Completed",$D166="Terminated"),0,IF($C166="",1,IF($C166="Portfolio",0,IF($C166="Outside the portfolio",IF($Q166=1,2,0),IF($B166="Project",IF(IFERROR(INDEX($B$6:$B$305,MATCH($C166,$A$6:$A$305,0)),"")="Program",0,1),1)))))</f>
        <v/>
      </c>
      <c r="AD166" s="28">
        <f>IF(AND($A166&lt;&gt;"",OR($M166="■ Red",$M166="◧ Amber"),$L166=""),1,0)</f>
        <v/>
      </c>
      <c r="AE166" s="28">
        <f>$AA166+$AB166+IF($AC166&gt;0,1,0)+$AD166+$AG166+$AH166</f>
        <v/>
      </c>
      <c r="AF166" s="25" t="n"/>
      <c r="AG166" s="28">
        <f>IF(AND($A166&lt;&gt;"",$K166&lt;&gt;"",$C166&lt;&gt;"Portfolio",$D166&lt;&gt;"Completed",$D166&lt;&gt;"Terminated"),1,0)</f>
        <v/>
      </c>
      <c r="AH166" s="28">
        <f>IF(AND($A166&lt;&gt;"",COUNTIF($A$6:$A$305,$A166)&gt;1),1,0)</f>
        <v/>
      </c>
      <c r="AI166" s="28">
        <f>IF(AND($A166&lt;&gt;"",$C166="Portfolio"),COUNTIFS($C$6:$C166,"Portfolio",$A$6:$A166,"&lt;&gt;"),"")</f>
        <v/>
      </c>
    </row>
    <row r="167">
      <c r="A167" s="25" t="n"/>
      <c r="B167" s="25" t="n"/>
      <c r="C167" s="25" t="n"/>
      <c r="D167" s="25" t="n"/>
      <c r="E167" s="25" t="n"/>
      <c r="F167" s="25" t="n"/>
      <c r="G167" s="25" t="n"/>
      <c r="H167" s="26" t="n"/>
      <c r="I167" s="26" t="n"/>
      <c r="J167" s="27" t="n"/>
      <c r="K167" s="27" t="n"/>
      <c r="L167" s="23" t="n"/>
      <c r="M167" s="28">
        <f>IF($A167="","",IF($D167="","Not read",IF($Q167=0,"Not counted",IF(MAX($X167,$Y167)=3,"■ Red",IF(MAX($X167,$Y167)=2,"◧ Amber",IF(MAX($X167,$Y167)=1,"□ On track","Not read"))))))</f>
        <v/>
      </c>
      <c r="N167" s="28">
        <f>IF(OR($A167="",$B167&lt;&gt;"Program"),"","■ "&amp;COUNTIFS($C$6:$C$305,$A167,$M$6:$M$305,"■ Red")&amp;" Red, ◧ "&amp;COUNTIFS($C$6:$C$305,$A167,$M$6:$M$305,"◧ Amber")&amp;" Amber")</f>
        <v/>
      </c>
      <c r="O167" s="29">
        <f>IF(OR($A167="",$E167=""),"",COUNTIFS($E$6:$E$305,$E167,$D$6:$D$305,"Active")+COUNTIFS($E$6:$E$305,$E167,$D$6:$D$305,"Paused"))</f>
        <v/>
      </c>
      <c r="P167" s="28">
        <f>IF($A167="","",IF($AE167=0,"○ Clear",IF($AA167=1,"△ No owner",IF($AC167=1,"△ Check Sits under",IF($AC167=2,"△ Outside the portfolio",IF($AB167=1,"△ No sponsor",IF($AH167=1,"△ Name used twice",IF($AG167=1,"△ Budget only counts under Portfolio","△ No variance note"))))))&amp;IF($AE167&gt;1," (+"&amp;($AE167-1)&amp;" more)","")))</f>
        <v/>
      </c>
      <c r="Q167" s="28">
        <f>IF(AND($A167&lt;&gt;"",OR($D167="Active",$D167="Paused")),1,0)</f>
        <v/>
      </c>
      <c r="R167" s="28">
        <f>IFERROR(INDEX($A$6:$A$305,MATCH(160,$S$6:$S$305,0)),"")</f>
        <v/>
      </c>
      <c r="S167" s="28">
        <f>IF(AND($A167&lt;&gt;"",$B167="Program"),COUNTIFS($B$6:$B167,"Program",$A$6:$A167,"&lt;&gt;"),"")</f>
        <v/>
      </c>
      <c r="T167" s="30">
        <f>IF(AND($A167&lt;&gt;"",$B167="Program"),SUMPRODUCT(MAX(($C$6:$C$305=$A167)*($B$6:$B$305="Project")*($D$6:$D$305&lt;&gt;"Proposed")*$I$6:$I$305)),0)</f>
        <v/>
      </c>
      <c r="U167" s="30">
        <f>IF($I167&lt;&gt;"",$I167,IF($T167&gt;0,$T167,""))</f>
        <v/>
      </c>
      <c r="V167" s="28">
        <f>IF(AND($A167&lt;&gt;"",$B167="Program"),SUMIFS($J$6:$J$305,$C$6:$C$305,$A167,$B$6:$B$305,"Project",$D$6:$D$305,"&lt;&gt;Proposed"),0)</f>
        <v/>
      </c>
      <c r="W167" s="28">
        <f>IF(AND($A167&lt;&gt;"",$B167="Program"),COUNTIFS($C$6:$C$305,$A167,$B$6:$B$305,"Project",$D$6:$D$305,"&lt;&gt;Proposed")-COUNTIFS($C$6:$C$305,$A167,$B$6:$B$305,"Project",$D$6:$D$305,"&lt;&gt;Proposed",$J$6:$J$305,"&gt;=0"),0)</f>
        <v/>
      </c>
      <c r="X167" s="28">
        <f>IF(OR($Q167=0,$H167="",$AF167="Sprint"),0,IF(AND($B167="Project",$H167&lt;TODAY()),3,IF($U167="",0,IF($U167&lt;=$H167,1,IF(NETWORKDAYS($H167,$U167)-1&gt;IF($B167="Program",Checks!$B$7,Checks!$B$6),3,2)))))</f>
        <v/>
      </c>
      <c r="Y167" s="28">
        <f>IF(OR($Q167=0,$K167="",$K167=0,$AF167="Sprint"),0,IF(AND($B167="Project",$J167=""),0,IF(IF($B167="Program",$V167,$J167)&gt;$K167*(1+Checks!$B$8),3,IF(IF($B167="Program",$V167,$J167)&gt;$K167,2,IF(AND($B167="Program",OR($W167&gt;0,$V167=0)),0,1)))))</f>
        <v/>
      </c>
      <c r="Z167" s="28">
        <f>IF($A167="",0,IF($C167="Portfolio",1,IF(AND($B167="Project",$C167&lt;&gt;"",$C167&lt;&gt;"Outside the portfolio"),IFERROR(IF(AND(INDEX($B$6:$B$305,MATCH($C167,$A$6:$A$305,0))="Program",INDEX($C$6:$C$305,MATCH($C167,$A$6:$A$305,0))="Portfolio"),1,0),0),0)))</f>
        <v/>
      </c>
      <c r="AA167" s="28">
        <f>IF(AND($A167&lt;&gt;"",$E167="",OR($Q167=1,$D167="Proposed")),1,0)</f>
        <v/>
      </c>
      <c r="AB167" s="28">
        <f>IF(AND($A167&lt;&gt;"",$B167="Program",$F167="",$Q167=1),1,0)</f>
        <v/>
      </c>
      <c r="AC167" s="28">
        <f>IF(OR($A167="",$D167="Completed",$D167="Terminated"),0,IF($C167="",1,IF($C167="Portfolio",0,IF($C167="Outside the portfolio",IF($Q167=1,2,0),IF($B167="Project",IF(IFERROR(INDEX($B$6:$B$305,MATCH($C167,$A$6:$A$305,0)),"")="Program",0,1),1)))))</f>
        <v/>
      </c>
      <c r="AD167" s="28">
        <f>IF(AND($A167&lt;&gt;"",OR($M167="■ Red",$M167="◧ Amber"),$L167=""),1,0)</f>
        <v/>
      </c>
      <c r="AE167" s="28">
        <f>$AA167+$AB167+IF($AC167&gt;0,1,0)+$AD167+$AG167+$AH167</f>
        <v/>
      </c>
      <c r="AF167" s="25" t="n"/>
      <c r="AG167" s="28">
        <f>IF(AND($A167&lt;&gt;"",$K167&lt;&gt;"",$C167&lt;&gt;"Portfolio",$D167&lt;&gt;"Completed",$D167&lt;&gt;"Terminated"),1,0)</f>
        <v/>
      </c>
      <c r="AH167" s="28">
        <f>IF(AND($A167&lt;&gt;"",COUNTIF($A$6:$A$305,$A167)&gt;1),1,0)</f>
        <v/>
      </c>
      <c r="AI167" s="28">
        <f>IF(AND($A167&lt;&gt;"",$C167="Portfolio"),COUNTIFS($C$6:$C167,"Portfolio",$A$6:$A167,"&lt;&gt;"),"")</f>
        <v/>
      </c>
    </row>
    <row r="168">
      <c r="A168" s="25" t="n"/>
      <c r="B168" s="25" t="n"/>
      <c r="C168" s="25" t="n"/>
      <c r="D168" s="25" t="n"/>
      <c r="E168" s="25" t="n"/>
      <c r="F168" s="25" t="n"/>
      <c r="G168" s="25" t="n"/>
      <c r="H168" s="26" t="n"/>
      <c r="I168" s="26" t="n"/>
      <c r="J168" s="27" t="n"/>
      <c r="K168" s="27" t="n"/>
      <c r="L168" s="23" t="n"/>
      <c r="M168" s="28">
        <f>IF($A168="","",IF($D168="","Not read",IF($Q168=0,"Not counted",IF(MAX($X168,$Y168)=3,"■ Red",IF(MAX($X168,$Y168)=2,"◧ Amber",IF(MAX($X168,$Y168)=1,"□ On track","Not read"))))))</f>
        <v/>
      </c>
      <c r="N168" s="28">
        <f>IF(OR($A168="",$B168&lt;&gt;"Program"),"","■ "&amp;COUNTIFS($C$6:$C$305,$A168,$M$6:$M$305,"■ Red")&amp;" Red, ◧ "&amp;COUNTIFS($C$6:$C$305,$A168,$M$6:$M$305,"◧ Amber")&amp;" Amber")</f>
        <v/>
      </c>
      <c r="O168" s="29">
        <f>IF(OR($A168="",$E168=""),"",COUNTIFS($E$6:$E$305,$E168,$D$6:$D$305,"Active")+COUNTIFS($E$6:$E$305,$E168,$D$6:$D$305,"Paused"))</f>
        <v/>
      </c>
      <c r="P168" s="28">
        <f>IF($A168="","",IF($AE168=0,"○ Clear",IF($AA168=1,"△ No owner",IF($AC168=1,"△ Check Sits under",IF($AC168=2,"△ Outside the portfolio",IF($AB168=1,"△ No sponsor",IF($AH168=1,"△ Name used twice",IF($AG168=1,"△ Budget only counts under Portfolio","△ No variance note"))))))&amp;IF($AE168&gt;1," (+"&amp;($AE168-1)&amp;" more)","")))</f>
        <v/>
      </c>
      <c r="Q168" s="28">
        <f>IF(AND($A168&lt;&gt;"",OR($D168="Active",$D168="Paused")),1,0)</f>
        <v/>
      </c>
      <c r="R168" s="28">
        <f>IFERROR(INDEX($A$6:$A$305,MATCH(161,$S$6:$S$305,0)),"")</f>
        <v/>
      </c>
      <c r="S168" s="28">
        <f>IF(AND($A168&lt;&gt;"",$B168="Program"),COUNTIFS($B$6:$B168,"Program",$A$6:$A168,"&lt;&gt;"),"")</f>
        <v/>
      </c>
      <c r="T168" s="30">
        <f>IF(AND($A168&lt;&gt;"",$B168="Program"),SUMPRODUCT(MAX(($C$6:$C$305=$A168)*($B$6:$B$305="Project")*($D$6:$D$305&lt;&gt;"Proposed")*$I$6:$I$305)),0)</f>
        <v/>
      </c>
      <c r="U168" s="30">
        <f>IF($I168&lt;&gt;"",$I168,IF($T168&gt;0,$T168,""))</f>
        <v/>
      </c>
      <c r="V168" s="28">
        <f>IF(AND($A168&lt;&gt;"",$B168="Program"),SUMIFS($J$6:$J$305,$C$6:$C$305,$A168,$B$6:$B$305,"Project",$D$6:$D$305,"&lt;&gt;Proposed"),0)</f>
        <v/>
      </c>
      <c r="W168" s="28">
        <f>IF(AND($A168&lt;&gt;"",$B168="Program"),COUNTIFS($C$6:$C$305,$A168,$B$6:$B$305,"Project",$D$6:$D$305,"&lt;&gt;Proposed")-COUNTIFS($C$6:$C$305,$A168,$B$6:$B$305,"Project",$D$6:$D$305,"&lt;&gt;Proposed",$J$6:$J$305,"&gt;=0"),0)</f>
        <v/>
      </c>
      <c r="X168" s="28">
        <f>IF(OR($Q168=0,$H168="",$AF168="Sprint"),0,IF(AND($B168="Project",$H168&lt;TODAY()),3,IF($U168="",0,IF($U168&lt;=$H168,1,IF(NETWORKDAYS($H168,$U168)-1&gt;IF($B168="Program",Checks!$B$7,Checks!$B$6),3,2)))))</f>
        <v/>
      </c>
      <c r="Y168" s="28">
        <f>IF(OR($Q168=0,$K168="",$K168=0,$AF168="Sprint"),0,IF(AND($B168="Project",$J168=""),0,IF(IF($B168="Program",$V168,$J168)&gt;$K168*(1+Checks!$B$8),3,IF(IF($B168="Program",$V168,$J168)&gt;$K168,2,IF(AND($B168="Program",OR($W168&gt;0,$V168=0)),0,1)))))</f>
        <v/>
      </c>
      <c r="Z168" s="28">
        <f>IF($A168="",0,IF($C168="Portfolio",1,IF(AND($B168="Project",$C168&lt;&gt;"",$C168&lt;&gt;"Outside the portfolio"),IFERROR(IF(AND(INDEX($B$6:$B$305,MATCH($C168,$A$6:$A$305,0))="Program",INDEX($C$6:$C$305,MATCH($C168,$A$6:$A$305,0))="Portfolio"),1,0),0),0)))</f>
        <v/>
      </c>
      <c r="AA168" s="28">
        <f>IF(AND($A168&lt;&gt;"",$E168="",OR($Q168=1,$D168="Proposed")),1,0)</f>
        <v/>
      </c>
      <c r="AB168" s="28">
        <f>IF(AND($A168&lt;&gt;"",$B168="Program",$F168="",$Q168=1),1,0)</f>
        <v/>
      </c>
      <c r="AC168" s="28">
        <f>IF(OR($A168="",$D168="Completed",$D168="Terminated"),0,IF($C168="",1,IF($C168="Portfolio",0,IF($C168="Outside the portfolio",IF($Q168=1,2,0),IF($B168="Project",IF(IFERROR(INDEX($B$6:$B$305,MATCH($C168,$A$6:$A$305,0)),"")="Program",0,1),1)))))</f>
        <v/>
      </c>
      <c r="AD168" s="28">
        <f>IF(AND($A168&lt;&gt;"",OR($M168="■ Red",$M168="◧ Amber"),$L168=""),1,0)</f>
        <v/>
      </c>
      <c r="AE168" s="28">
        <f>$AA168+$AB168+IF($AC168&gt;0,1,0)+$AD168+$AG168+$AH168</f>
        <v/>
      </c>
      <c r="AF168" s="25" t="n"/>
      <c r="AG168" s="28">
        <f>IF(AND($A168&lt;&gt;"",$K168&lt;&gt;"",$C168&lt;&gt;"Portfolio",$D168&lt;&gt;"Completed",$D168&lt;&gt;"Terminated"),1,0)</f>
        <v/>
      </c>
      <c r="AH168" s="28">
        <f>IF(AND($A168&lt;&gt;"",COUNTIF($A$6:$A$305,$A168)&gt;1),1,0)</f>
        <v/>
      </c>
      <c r="AI168" s="28">
        <f>IF(AND($A168&lt;&gt;"",$C168="Portfolio"),COUNTIFS($C$6:$C168,"Portfolio",$A$6:$A168,"&lt;&gt;"),"")</f>
        <v/>
      </c>
    </row>
    <row r="169">
      <c r="A169" s="25" t="n"/>
      <c r="B169" s="25" t="n"/>
      <c r="C169" s="25" t="n"/>
      <c r="D169" s="25" t="n"/>
      <c r="E169" s="25" t="n"/>
      <c r="F169" s="25" t="n"/>
      <c r="G169" s="25" t="n"/>
      <c r="H169" s="26" t="n"/>
      <c r="I169" s="26" t="n"/>
      <c r="J169" s="27" t="n"/>
      <c r="K169" s="27" t="n"/>
      <c r="L169" s="23" t="n"/>
      <c r="M169" s="28">
        <f>IF($A169="","",IF($D169="","Not read",IF($Q169=0,"Not counted",IF(MAX($X169,$Y169)=3,"■ Red",IF(MAX($X169,$Y169)=2,"◧ Amber",IF(MAX($X169,$Y169)=1,"□ On track","Not read"))))))</f>
        <v/>
      </c>
      <c r="N169" s="28">
        <f>IF(OR($A169="",$B169&lt;&gt;"Program"),"","■ "&amp;COUNTIFS($C$6:$C$305,$A169,$M$6:$M$305,"■ Red")&amp;" Red, ◧ "&amp;COUNTIFS($C$6:$C$305,$A169,$M$6:$M$305,"◧ Amber")&amp;" Amber")</f>
        <v/>
      </c>
      <c r="O169" s="29">
        <f>IF(OR($A169="",$E169=""),"",COUNTIFS($E$6:$E$305,$E169,$D$6:$D$305,"Active")+COUNTIFS($E$6:$E$305,$E169,$D$6:$D$305,"Paused"))</f>
        <v/>
      </c>
      <c r="P169" s="28">
        <f>IF($A169="","",IF($AE169=0,"○ Clear",IF($AA169=1,"△ No owner",IF($AC169=1,"△ Check Sits under",IF($AC169=2,"△ Outside the portfolio",IF($AB169=1,"△ No sponsor",IF($AH169=1,"△ Name used twice",IF($AG169=1,"△ Budget only counts under Portfolio","△ No variance note"))))))&amp;IF($AE169&gt;1," (+"&amp;($AE169-1)&amp;" more)","")))</f>
        <v/>
      </c>
      <c r="Q169" s="28">
        <f>IF(AND($A169&lt;&gt;"",OR($D169="Active",$D169="Paused")),1,0)</f>
        <v/>
      </c>
      <c r="R169" s="28">
        <f>IFERROR(INDEX($A$6:$A$305,MATCH(162,$S$6:$S$305,0)),"")</f>
        <v/>
      </c>
      <c r="S169" s="28">
        <f>IF(AND($A169&lt;&gt;"",$B169="Program"),COUNTIFS($B$6:$B169,"Program",$A$6:$A169,"&lt;&gt;"),"")</f>
        <v/>
      </c>
      <c r="T169" s="30">
        <f>IF(AND($A169&lt;&gt;"",$B169="Program"),SUMPRODUCT(MAX(($C$6:$C$305=$A169)*($B$6:$B$305="Project")*($D$6:$D$305&lt;&gt;"Proposed")*$I$6:$I$305)),0)</f>
        <v/>
      </c>
      <c r="U169" s="30">
        <f>IF($I169&lt;&gt;"",$I169,IF($T169&gt;0,$T169,""))</f>
        <v/>
      </c>
      <c r="V169" s="28">
        <f>IF(AND($A169&lt;&gt;"",$B169="Program"),SUMIFS($J$6:$J$305,$C$6:$C$305,$A169,$B$6:$B$305,"Project",$D$6:$D$305,"&lt;&gt;Proposed"),0)</f>
        <v/>
      </c>
      <c r="W169" s="28">
        <f>IF(AND($A169&lt;&gt;"",$B169="Program"),COUNTIFS($C$6:$C$305,$A169,$B$6:$B$305,"Project",$D$6:$D$305,"&lt;&gt;Proposed")-COUNTIFS($C$6:$C$305,$A169,$B$6:$B$305,"Project",$D$6:$D$305,"&lt;&gt;Proposed",$J$6:$J$305,"&gt;=0"),0)</f>
        <v/>
      </c>
      <c r="X169" s="28">
        <f>IF(OR($Q169=0,$H169="",$AF169="Sprint"),0,IF(AND($B169="Project",$H169&lt;TODAY()),3,IF($U169="",0,IF($U169&lt;=$H169,1,IF(NETWORKDAYS($H169,$U169)-1&gt;IF($B169="Program",Checks!$B$7,Checks!$B$6),3,2)))))</f>
        <v/>
      </c>
      <c r="Y169" s="28">
        <f>IF(OR($Q169=0,$K169="",$K169=0,$AF169="Sprint"),0,IF(AND($B169="Project",$J169=""),0,IF(IF($B169="Program",$V169,$J169)&gt;$K169*(1+Checks!$B$8),3,IF(IF($B169="Program",$V169,$J169)&gt;$K169,2,IF(AND($B169="Program",OR($W169&gt;0,$V169=0)),0,1)))))</f>
        <v/>
      </c>
      <c r="Z169" s="28">
        <f>IF($A169="",0,IF($C169="Portfolio",1,IF(AND($B169="Project",$C169&lt;&gt;"",$C169&lt;&gt;"Outside the portfolio"),IFERROR(IF(AND(INDEX($B$6:$B$305,MATCH($C169,$A$6:$A$305,0))="Program",INDEX($C$6:$C$305,MATCH($C169,$A$6:$A$305,0))="Portfolio"),1,0),0),0)))</f>
        <v/>
      </c>
      <c r="AA169" s="28">
        <f>IF(AND($A169&lt;&gt;"",$E169="",OR($Q169=1,$D169="Proposed")),1,0)</f>
        <v/>
      </c>
      <c r="AB169" s="28">
        <f>IF(AND($A169&lt;&gt;"",$B169="Program",$F169="",$Q169=1),1,0)</f>
        <v/>
      </c>
      <c r="AC169" s="28">
        <f>IF(OR($A169="",$D169="Completed",$D169="Terminated"),0,IF($C169="",1,IF($C169="Portfolio",0,IF($C169="Outside the portfolio",IF($Q169=1,2,0),IF($B169="Project",IF(IFERROR(INDEX($B$6:$B$305,MATCH($C169,$A$6:$A$305,0)),"")="Program",0,1),1)))))</f>
        <v/>
      </c>
      <c r="AD169" s="28">
        <f>IF(AND($A169&lt;&gt;"",OR($M169="■ Red",$M169="◧ Amber"),$L169=""),1,0)</f>
        <v/>
      </c>
      <c r="AE169" s="28">
        <f>$AA169+$AB169+IF($AC169&gt;0,1,0)+$AD169+$AG169+$AH169</f>
        <v/>
      </c>
      <c r="AF169" s="25" t="n"/>
      <c r="AG169" s="28">
        <f>IF(AND($A169&lt;&gt;"",$K169&lt;&gt;"",$C169&lt;&gt;"Portfolio",$D169&lt;&gt;"Completed",$D169&lt;&gt;"Terminated"),1,0)</f>
        <v/>
      </c>
      <c r="AH169" s="28">
        <f>IF(AND($A169&lt;&gt;"",COUNTIF($A$6:$A$305,$A169)&gt;1),1,0)</f>
        <v/>
      </c>
      <c r="AI169" s="28">
        <f>IF(AND($A169&lt;&gt;"",$C169="Portfolio"),COUNTIFS($C$6:$C169,"Portfolio",$A$6:$A169,"&lt;&gt;"),"")</f>
        <v/>
      </c>
    </row>
    <row r="170">
      <c r="A170" s="25" t="n"/>
      <c r="B170" s="25" t="n"/>
      <c r="C170" s="25" t="n"/>
      <c r="D170" s="25" t="n"/>
      <c r="E170" s="25" t="n"/>
      <c r="F170" s="25" t="n"/>
      <c r="G170" s="25" t="n"/>
      <c r="H170" s="26" t="n"/>
      <c r="I170" s="26" t="n"/>
      <c r="J170" s="27" t="n"/>
      <c r="K170" s="27" t="n"/>
      <c r="L170" s="23" t="n"/>
      <c r="M170" s="28">
        <f>IF($A170="","",IF($D170="","Not read",IF($Q170=0,"Not counted",IF(MAX($X170,$Y170)=3,"■ Red",IF(MAX($X170,$Y170)=2,"◧ Amber",IF(MAX($X170,$Y170)=1,"□ On track","Not read"))))))</f>
        <v/>
      </c>
      <c r="N170" s="28">
        <f>IF(OR($A170="",$B170&lt;&gt;"Program"),"","■ "&amp;COUNTIFS($C$6:$C$305,$A170,$M$6:$M$305,"■ Red")&amp;" Red, ◧ "&amp;COUNTIFS($C$6:$C$305,$A170,$M$6:$M$305,"◧ Amber")&amp;" Amber")</f>
        <v/>
      </c>
      <c r="O170" s="29">
        <f>IF(OR($A170="",$E170=""),"",COUNTIFS($E$6:$E$305,$E170,$D$6:$D$305,"Active")+COUNTIFS($E$6:$E$305,$E170,$D$6:$D$305,"Paused"))</f>
        <v/>
      </c>
      <c r="P170" s="28">
        <f>IF($A170="","",IF($AE170=0,"○ Clear",IF($AA170=1,"△ No owner",IF($AC170=1,"△ Check Sits under",IF($AC170=2,"△ Outside the portfolio",IF($AB170=1,"△ No sponsor",IF($AH170=1,"△ Name used twice",IF($AG170=1,"△ Budget only counts under Portfolio","△ No variance note"))))))&amp;IF($AE170&gt;1," (+"&amp;($AE170-1)&amp;" more)","")))</f>
        <v/>
      </c>
      <c r="Q170" s="28">
        <f>IF(AND($A170&lt;&gt;"",OR($D170="Active",$D170="Paused")),1,0)</f>
        <v/>
      </c>
      <c r="R170" s="28">
        <f>IFERROR(INDEX($A$6:$A$305,MATCH(163,$S$6:$S$305,0)),"")</f>
        <v/>
      </c>
      <c r="S170" s="28">
        <f>IF(AND($A170&lt;&gt;"",$B170="Program"),COUNTIFS($B$6:$B170,"Program",$A$6:$A170,"&lt;&gt;"),"")</f>
        <v/>
      </c>
      <c r="T170" s="30">
        <f>IF(AND($A170&lt;&gt;"",$B170="Program"),SUMPRODUCT(MAX(($C$6:$C$305=$A170)*($B$6:$B$305="Project")*($D$6:$D$305&lt;&gt;"Proposed")*$I$6:$I$305)),0)</f>
        <v/>
      </c>
      <c r="U170" s="30">
        <f>IF($I170&lt;&gt;"",$I170,IF($T170&gt;0,$T170,""))</f>
        <v/>
      </c>
      <c r="V170" s="28">
        <f>IF(AND($A170&lt;&gt;"",$B170="Program"),SUMIFS($J$6:$J$305,$C$6:$C$305,$A170,$B$6:$B$305,"Project",$D$6:$D$305,"&lt;&gt;Proposed"),0)</f>
        <v/>
      </c>
      <c r="W170" s="28">
        <f>IF(AND($A170&lt;&gt;"",$B170="Program"),COUNTIFS($C$6:$C$305,$A170,$B$6:$B$305,"Project",$D$6:$D$305,"&lt;&gt;Proposed")-COUNTIFS($C$6:$C$305,$A170,$B$6:$B$305,"Project",$D$6:$D$305,"&lt;&gt;Proposed",$J$6:$J$305,"&gt;=0"),0)</f>
        <v/>
      </c>
      <c r="X170" s="28">
        <f>IF(OR($Q170=0,$H170="",$AF170="Sprint"),0,IF(AND($B170="Project",$H170&lt;TODAY()),3,IF($U170="",0,IF($U170&lt;=$H170,1,IF(NETWORKDAYS($H170,$U170)-1&gt;IF($B170="Program",Checks!$B$7,Checks!$B$6),3,2)))))</f>
        <v/>
      </c>
      <c r="Y170" s="28">
        <f>IF(OR($Q170=0,$K170="",$K170=0,$AF170="Sprint"),0,IF(AND($B170="Project",$J170=""),0,IF(IF($B170="Program",$V170,$J170)&gt;$K170*(1+Checks!$B$8),3,IF(IF($B170="Program",$V170,$J170)&gt;$K170,2,IF(AND($B170="Program",OR($W170&gt;0,$V170=0)),0,1)))))</f>
        <v/>
      </c>
      <c r="Z170" s="28">
        <f>IF($A170="",0,IF($C170="Portfolio",1,IF(AND($B170="Project",$C170&lt;&gt;"",$C170&lt;&gt;"Outside the portfolio"),IFERROR(IF(AND(INDEX($B$6:$B$305,MATCH($C170,$A$6:$A$305,0))="Program",INDEX($C$6:$C$305,MATCH($C170,$A$6:$A$305,0))="Portfolio"),1,0),0),0)))</f>
        <v/>
      </c>
      <c r="AA170" s="28">
        <f>IF(AND($A170&lt;&gt;"",$E170="",OR($Q170=1,$D170="Proposed")),1,0)</f>
        <v/>
      </c>
      <c r="AB170" s="28">
        <f>IF(AND($A170&lt;&gt;"",$B170="Program",$F170="",$Q170=1),1,0)</f>
        <v/>
      </c>
      <c r="AC170" s="28">
        <f>IF(OR($A170="",$D170="Completed",$D170="Terminated"),0,IF($C170="",1,IF($C170="Portfolio",0,IF($C170="Outside the portfolio",IF($Q170=1,2,0),IF($B170="Project",IF(IFERROR(INDEX($B$6:$B$305,MATCH($C170,$A$6:$A$305,0)),"")="Program",0,1),1)))))</f>
        <v/>
      </c>
      <c r="AD170" s="28">
        <f>IF(AND($A170&lt;&gt;"",OR($M170="■ Red",$M170="◧ Amber"),$L170=""),1,0)</f>
        <v/>
      </c>
      <c r="AE170" s="28">
        <f>$AA170+$AB170+IF($AC170&gt;0,1,0)+$AD170+$AG170+$AH170</f>
        <v/>
      </c>
      <c r="AF170" s="25" t="n"/>
      <c r="AG170" s="28">
        <f>IF(AND($A170&lt;&gt;"",$K170&lt;&gt;"",$C170&lt;&gt;"Portfolio",$D170&lt;&gt;"Completed",$D170&lt;&gt;"Terminated"),1,0)</f>
        <v/>
      </c>
      <c r="AH170" s="28">
        <f>IF(AND($A170&lt;&gt;"",COUNTIF($A$6:$A$305,$A170)&gt;1),1,0)</f>
        <v/>
      </c>
      <c r="AI170" s="28">
        <f>IF(AND($A170&lt;&gt;"",$C170="Portfolio"),COUNTIFS($C$6:$C170,"Portfolio",$A$6:$A170,"&lt;&gt;"),"")</f>
        <v/>
      </c>
    </row>
    <row r="171">
      <c r="A171" s="25" t="n"/>
      <c r="B171" s="25" t="n"/>
      <c r="C171" s="25" t="n"/>
      <c r="D171" s="25" t="n"/>
      <c r="E171" s="25" t="n"/>
      <c r="F171" s="25" t="n"/>
      <c r="G171" s="25" t="n"/>
      <c r="H171" s="26" t="n"/>
      <c r="I171" s="26" t="n"/>
      <c r="J171" s="27" t="n"/>
      <c r="K171" s="27" t="n"/>
      <c r="L171" s="23" t="n"/>
      <c r="M171" s="28">
        <f>IF($A171="","",IF($D171="","Not read",IF($Q171=0,"Not counted",IF(MAX($X171,$Y171)=3,"■ Red",IF(MAX($X171,$Y171)=2,"◧ Amber",IF(MAX($X171,$Y171)=1,"□ On track","Not read"))))))</f>
        <v/>
      </c>
      <c r="N171" s="28">
        <f>IF(OR($A171="",$B171&lt;&gt;"Program"),"","■ "&amp;COUNTIFS($C$6:$C$305,$A171,$M$6:$M$305,"■ Red")&amp;" Red, ◧ "&amp;COUNTIFS($C$6:$C$305,$A171,$M$6:$M$305,"◧ Amber")&amp;" Amber")</f>
        <v/>
      </c>
      <c r="O171" s="29">
        <f>IF(OR($A171="",$E171=""),"",COUNTIFS($E$6:$E$305,$E171,$D$6:$D$305,"Active")+COUNTIFS($E$6:$E$305,$E171,$D$6:$D$305,"Paused"))</f>
        <v/>
      </c>
      <c r="P171" s="28">
        <f>IF($A171="","",IF($AE171=0,"○ Clear",IF($AA171=1,"△ No owner",IF($AC171=1,"△ Check Sits under",IF($AC171=2,"△ Outside the portfolio",IF($AB171=1,"△ No sponsor",IF($AH171=1,"△ Name used twice",IF($AG171=1,"△ Budget only counts under Portfolio","△ No variance note"))))))&amp;IF($AE171&gt;1," (+"&amp;($AE171-1)&amp;" more)","")))</f>
        <v/>
      </c>
      <c r="Q171" s="28">
        <f>IF(AND($A171&lt;&gt;"",OR($D171="Active",$D171="Paused")),1,0)</f>
        <v/>
      </c>
      <c r="R171" s="28">
        <f>IFERROR(INDEX($A$6:$A$305,MATCH(164,$S$6:$S$305,0)),"")</f>
        <v/>
      </c>
      <c r="S171" s="28">
        <f>IF(AND($A171&lt;&gt;"",$B171="Program"),COUNTIFS($B$6:$B171,"Program",$A$6:$A171,"&lt;&gt;"),"")</f>
        <v/>
      </c>
      <c r="T171" s="30">
        <f>IF(AND($A171&lt;&gt;"",$B171="Program"),SUMPRODUCT(MAX(($C$6:$C$305=$A171)*($B$6:$B$305="Project")*($D$6:$D$305&lt;&gt;"Proposed")*$I$6:$I$305)),0)</f>
        <v/>
      </c>
      <c r="U171" s="30">
        <f>IF($I171&lt;&gt;"",$I171,IF($T171&gt;0,$T171,""))</f>
        <v/>
      </c>
      <c r="V171" s="28">
        <f>IF(AND($A171&lt;&gt;"",$B171="Program"),SUMIFS($J$6:$J$305,$C$6:$C$305,$A171,$B$6:$B$305,"Project",$D$6:$D$305,"&lt;&gt;Proposed"),0)</f>
        <v/>
      </c>
      <c r="W171" s="28">
        <f>IF(AND($A171&lt;&gt;"",$B171="Program"),COUNTIFS($C$6:$C$305,$A171,$B$6:$B$305,"Project",$D$6:$D$305,"&lt;&gt;Proposed")-COUNTIFS($C$6:$C$305,$A171,$B$6:$B$305,"Project",$D$6:$D$305,"&lt;&gt;Proposed",$J$6:$J$305,"&gt;=0"),0)</f>
        <v/>
      </c>
      <c r="X171" s="28">
        <f>IF(OR($Q171=0,$H171="",$AF171="Sprint"),0,IF(AND($B171="Project",$H171&lt;TODAY()),3,IF($U171="",0,IF($U171&lt;=$H171,1,IF(NETWORKDAYS($H171,$U171)-1&gt;IF($B171="Program",Checks!$B$7,Checks!$B$6),3,2)))))</f>
        <v/>
      </c>
      <c r="Y171" s="28">
        <f>IF(OR($Q171=0,$K171="",$K171=0,$AF171="Sprint"),0,IF(AND($B171="Project",$J171=""),0,IF(IF($B171="Program",$V171,$J171)&gt;$K171*(1+Checks!$B$8),3,IF(IF($B171="Program",$V171,$J171)&gt;$K171,2,IF(AND($B171="Program",OR($W171&gt;0,$V171=0)),0,1)))))</f>
        <v/>
      </c>
      <c r="Z171" s="28">
        <f>IF($A171="",0,IF($C171="Portfolio",1,IF(AND($B171="Project",$C171&lt;&gt;"",$C171&lt;&gt;"Outside the portfolio"),IFERROR(IF(AND(INDEX($B$6:$B$305,MATCH($C171,$A$6:$A$305,0))="Program",INDEX($C$6:$C$305,MATCH($C171,$A$6:$A$305,0))="Portfolio"),1,0),0),0)))</f>
        <v/>
      </c>
      <c r="AA171" s="28">
        <f>IF(AND($A171&lt;&gt;"",$E171="",OR($Q171=1,$D171="Proposed")),1,0)</f>
        <v/>
      </c>
      <c r="AB171" s="28">
        <f>IF(AND($A171&lt;&gt;"",$B171="Program",$F171="",$Q171=1),1,0)</f>
        <v/>
      </c>
      <c r="AC171" s="28">
        <f>IF(OR($A171="",$D171="Completed",$D171="Terminated"),0,IF($C171="",1,IF($C171="Portfolio",0,IF($C171="Outside the portfolio",IF($Q171=1,2,0),IF($B171="Project",IF(IFERROR(INDEX($B$6:$B$305,MATCH($C171,$A$6:$A$305,0)),"")="Program",0,1),1)))))</f>
        <v/>
      </c>
      <c r="AD171" s="28">
        <f>IF(AND($A171&lt;&gt;"",OR($M171="■ Red",$M171="◧ Amber"),$L171=""),1,0)</f>
        <v/>
      </c>
      <c r="AE171" s="28">
        <f>$AA171+$AB171+IF($AC171&gt;0,1,0)+$AD171+$AG171+$AH171</f>
        <v/>
      </c>
      <c r="AF171" s="25" t="n"/>
      <c r="AG171" s="28">
        <f>IF(AND($A171&lt;&gt;"",$K171&lt;&gt;"",$C171&lt;&gt;"Portfolio",$D171&lt;&gt;"Completed",$D171&lt;&gt;"Terminated"),1,0)</f>
        <v/>
      </c>
      <c r="AH171" s="28">
        <f>IF(AND($A171&lt;&gt;"",COUNTIF($A$6:$A$305,$A171)&gt;1),1,0)</f>
        <v/>
      </c>
      <c r="AI171" s="28">
        <f>IF(AND($A171&lt;&gt;"",$C171="Portfolio"),COUNTIFS($C$6:$C171,"Portfolio",$A$6:$A171,"&lt;&gt;"),"")</f>
        <v/>
      </c>
    </row>
    <row r="172">
      <c r="A172" s="25" t="n"/>
      <c r="B172" s="25" t="n"/>
      <c r="C172" s="25" t="n"/>
      <c r="D172" s="25" t="n"/>
      <c r="E172" s="25" t="n"/>
      <c r="F172" s="25" t="n"/>
      <c r="G172" s="25" t="n"/>
      <c r="H172" s="26" t="n"/>
      <c r="I172" s="26" t="n"/>
      <c r="J172" s="27" t="n"/>
      <c r="K172" s="27" t="n"/>
      <c r="L172" s="23" t="n"/>
      <c r="M172" s="28">
        <f>IF($A172="","",IF($D172="","Not read",IF($Q172=0,"Not counted",IF(MAX($X172,$Y172)=3,"■ Red",IF(MAX($X172,$Y172)=2,"◧ Amber",IF(MAX($X172,$Y172)=1,"□ On track","Not read"))))))</f>
        <v/>
      </c>
      <c r="N172" s="28">
        <f>IF(OR($A172="",$B172&lt;&gt;"Program"),"","■ "&amp;COUNTIFS($C$6:$C$305,$A172,$M$6:$M$305,"■ Red")&amp;" Red, ◧ "&amp;COUNTIFS($C$6:$C$305,$A172,$M$6:$M$305,"◧ Amber")&amp;" Amber")</f>
        <v/>
      </c>
      <c r="O172" s="29">
        <f>IF(OR($A172="",$E172=""),"",COUNTIFS($E$6:$E$305,$E172,$D$6:$D$305,"Active")+COUNTIFS($E$6:$E$305,$E172,$D$6:$D$305,"Paused"))</f>
        <v/>
      </c>
      <c r="P172" s="28">
        <f>IF($A172="","",IF($AE172=0,"○ Clear",IF($AA172=1,"△ No owner",IF($AC172=1,"△ Check Sits under",IF($AC172=2,"△ Outside the portfolio",IF($AB172=1,"△ No sponsor",IF($AH172=1,"△ Name used twice",IF($AG172=1,"△ Budget only counts under Portfolio","△ No variance note"))))))&amp;IF($AE172&gt;1," (+"&amp;($AE172-1)&amp;" more)","")))</f>
        <v/>
      </c>
      <c r="Q172" s="28">
        <f>IF(AND($A172&lt;&gt;"",OR($D172="Active",$D172="Paused")),1,0)</f>
        <v/>
      </c>
      <c r="R172" s="28">
        <f>IFERROR(INDEX($A$6:$A$305,MATCH(165,$S$6:$S$305,0)),"")</f>
        <v/>
      </c>
      <c r="S172" s="28">
        <f>IF(AND($A172&lt;&gt;"",$B172="Program"),COUNTIFS($B$6:$B172,"Program",$A$6:$A172,"&lt;&gt;"),"")</f>
        <v/>
      </c>
      <c r="T172" s="30">
        <f>IF(AND($A172&lt;&gt;"",$B172="Program"),SUMPRODUCT(MAX(($C$6:$C$305=$A172)*($B$6:$B$305="Project")*($D$6:$D$305&lt;&gt;"Proposed")*$I$6:$I$305)),0)</f>
        <v/>
      </c>
      <c r="U172" s="30">
        <f>IF($I172&lt;&gt;"",$I172,IF($T172&gt;0,$T172,""))</f>
        <v/>
      </c>
      <c r="V172" s="28">
        <f>IF(AND($A172&lt;&gt;"",$B172="Program"),SUMIFS($J$6:$J$305,$C$6:$C$305,$A172,$B$6:$B$305,"Project",$D$6:$D$305,"&lt;&gt;Proposed"),0)</f>
        <v/>
      </c>
      <c r="W172" s="28">
        <f>IF(AND($A172&lt;&gt;"",$B172="Program"),COUNTIFS($C$6:$C$305,$A172,$B$6:$B$305,"Project",$D$6:$D$305,"&lt;&gt;Proposed")-COUNTIFS($C$6:$C$305,$A172,$B$6:$B$305,"Project",$D$6:$D$305,"&lt;&gt;Proposed",$J$6:$J$305,"&gt;=0"),0)</f>
        <v/>
      </c>
      <c r="X172" s="28">
        <f>IF(OR($Q172=0,$H172="",$AF172="Sprint"),0,IF(AND($B172="Project",$H172&lt;TODAY()),3,IF($U172="",0,IF($U172&lt;=$H172,1,IF(NETWORKDAYS($H172,$U172)-1&gt;IF($B172="Program",Checks!$B$7,Checks!$B$6),3,2)))))</f>
        <v/>
      </c>
      <c r="Y172" s="28">
        <f>IF(OR($Q172=0,$K172="",$K172=0,$AF172="Sprint"),0,IF(AND($B172="Project",$J172=""),0,IF(IF($B172="Program",$V172,$J172)&gt;$K172*(1+Checks!$B$8),3,IF(IF($B172="Program",$V172,$J172)&gt;$K172,2,IF(AND($B172="Program",OR($W172&gt;0,$V172=0)),0,1)))))</f>
        <v/>
      </c>
      <c r="Z172" s="28">
        <f>IF($A172="",0,IF($C172="Portfolio",1,IF(AND($B172="Project",$C172&lt;&gt;"",$C172&lt;&gt;"Outside the portfolio"),IFERROR(IF(AND(INDEX($B$6:$B$305,MATCH($C172,$A$6:$A$305,0))="Program",INDEX($C$6:$C$305,MATCH($C172,$A$6:$A$305,0))="Portfolio"),1,0),0),0)))</f>
        <v/>
      </c>
      <c r="AA172" s="28">
        <f>IF(AND($A172&lt;&gt;"",$E172="",OR($Q172=1,$D172="Proposed")),1,0)</f>
        <v/>
      </c>
      <c r="AB172" s="28">
        <f>IF(AND($A172&lt;&gt;"",$B172="Program",$F172="",$Q172=1),1,0)</f>
        <v/>
      </c>
      <c r="AC172" s="28">
        <f>IF(OR($A172="",$D172="Completed",$D172="Terminated"),0,IF($C172="",1,IF($C172="Portfolio",0,IF($C172="Outside the portfolio",IF($Q172=1,2,0),IF($B172="Project",IF(IFERROR(INDEX($B$6:$B$305,MATCH($C172,$A$6:$A$305,0)),"")="Program",0,1),1)))))</f>
        <v/>
      </c>
      <c r="AD172" s="28">
        <f>IF(AND($A172&lt;&gt;"",OR($M172="■ Red",$M172="◧ Amber"),$L172=""),1,0)</f>
        <v/>
      </c>
      <c r="AE172" s="28">
        <f>$AA172+$AB172+IF($AC172&gt;0,1,0)+$AD172+$AG172+$AH172</f>
        <v/>
      </c>
      <c r="AF172" s="25" t="n"/>
      <c r="AG172" s="28">
        <f>IF(AND($A172&lt;&gt;"",$K172&lt;&gt;"",$C172&lt;&gt;"Portfolio",$D172&lt;&gt;"Completed",$D172&lt;&gt;"Terminated"),1,0)</f>
        <v/>
      </c>
      <c r="AH172" s="28">
        <f>IF(AND($A172&lt;&gt;"",COUNTIF($A$6:$A$305,$A172)&gt;1),1,0)</f>
        <v/>
      </c>
      <c r="AI172" s="28">
        <f>IF(AND($A172&lt;&gt;"",$C172="Portfolio"),COUNTIFS($C$6:$C172,"Portfolio",$A$6:$A172,"&lt;&gt;"),"")</f>
        <v/>
      </c>
    </row>
    <row r="173">
      <c r="A173" s="25" t="n"/>
      <c r="B173" s="25" t="n"/>
      <c r="C173" s="25" t="n"/>
      <c r="D173" s="25" t="n"/>
      <c r="E173" s="25" t="n"/>
      <c r="F173" s="25" t="n"/>
      <c r="G173" s="25" t="n"/>
      <c r="H173" s="26" t="n"/>
      <c r="I173" s="26" t="n"/>
      <c r="J173" s="27" t="n"/>
      <c r="K173" s="27" t="n"/>
      <c r="L173" s="23" t="n"/>
      <c r="M173" s="28">
        <f>IF($A173="","",IF($D173="","Not read",IF($Q173=0,"Not counted",IF(MAX($X173,$Y173)=3,"■ Red",IF(MAX($X173,$Y173)=2,"◧ Amber",IF(MAX($X173,$Y173)=1,"□ On track","Not read"))))))</f>
        <v/>
      </c>
      <c r="N173" s="28">
        <f>IF(OR($A173="",$B173&lt;&gt;"Program"),"","■ "&amp;COUNTIFS($C$6:$C$305,$A173,$M$6:$M$305,"■ Red")&amp;" Red, ◧ "&amp;COUNTIFS($C$6:$C$305,$A173,$M$6:$M$305,"◧ Amber")&amp;" Amber")</f>
        <v/>
      </c>
      <c r="O173" s="29">
        <f>IF(OR($A173="",$E173=""),"",COUNTIFS($E$6:$E$305,$E173,$D$6:$D$305,"Active")+COUNTIFS($E$6:$E$305,$E173,$D$6:$D$305,"Paused"))</f>
        <v/>
      </c>
      <c r="P173" s="28">
        <f>IF($A173="","",IF($AE173=0,"○ Clear",IF($AA173=1,"△ No owner",IF($AC173=1,"△ Check Sits under",IF($AC173=2,"△ Outside the portfolio",IF($AB173=1,"△ No sponsor",IF($AH173=1,"△ Name used twice",IF($AG173=1,"△ Budget only counts under Portfolio","△ No variance note"))))))&amp;IF($AE173&gt;1," (+"&amp;($AE173-1)&amp;" more)","")))</f>
        <v/>
      </c>
      <c r="Q173" s="28">
        <f>IF(AND($A173&lt;&gt;"",OR($D173="Active",$D173="Paused")),1,0)</f>
        <v/>
      </c>
      <c r="R173" s="28">
        <f>IFERROR(INDEX($A$6:$A$305,MATCH(166,$S$6:$S$305,0)),"")</f>
        <v/>
      </c>
      <c r="S173" s="28">
        <f>IF(AND($A173&lt;&gt;"",$B173="Program"),COUNTIFS($B$6:$B173,"Program",$A$6:$A173,"&lt;&gt;"),"")</f>
        <v/>
      </c>
      <c r="T173" s="30">
        <f>IF(AND($A173&lt;&gt;"",$B173="Program"),SUMPRODUCT(MAX(($C$6:$C$305=$A173)*($B$6:$B$305="Project")*($D$6:$D$305&lt;&gt;"Proposed")*$I$6:$I$305)),0)</f>
        <v/>
      </c>
      <c r="U173" s="30">
        <f>IF($I173&lt;&gt;"",$I173,IF($T173&gt;0,$T173,""))</f>
        <v/>
      </c>
      <c r="V173" s="28">
        <f>IF(AND($A173&lt;&gt;"",$B173="Program"),SUMIFS($J$6:$J$305,$C$6:$C$305,$A173,$B$6:$B$305,"Project",$D$6:$D$305,"&lt;&gt;Proposed"),0)</f>
        <v/>
      </c>
      <c r="W173" s="28">
        <f>IF(AND($A173&lt;&gt;"",$B173="Program"),COUNTIFS($C$6:$C$305,$A173,$B$6:$B$305,"Project",$D$6:$D$305,"&lt;&gt;Proposed")-COUNTIFS($C$6:$C$305,$A173,$B$6:$B$305,"Project",$D$6:$D$305,"&lt;&gt;Proposed",$J$6:$J$305,"&gt;=0"),0)</f>
        <v/>
      </c>
      <c r="X173" s="28">
        <f>IF(OR($Q173=0,$H173="",$AF173="Sprint"),0,IF(AND($B173="Project",$H173&lt;TODAY()),3,IF($U173="",0,IF($U173&lt;=$H173,1,IF(NETWORKDAYS($H173,$U173)-1&gt;IF($B173="Program",Checks!$B$7,Checks!$B$6),3,2)))))</f>
        <v/>
      </c>
      <c r="Y173" s="28">
        <f>IF(OR($Q173=0,$K173="",$K173=0,$AF173="Sprint"),0,IF(AND($B173="Project",$J173=""),0,IF(IF($B173="Program",$V173,$J173)&gt;$K173*(1+Checks!$B$8),3,IF(IF($B173="Program",$V173,$J173)&gt;$K173,2,IF(AND($B173="Program",OR($W173&gt;0,$V173=0)),0,1)))))</f>
        <v/>
      </c>
      <c r="Z173" s="28">
        <f>IF($A173="",0,IF($C173="Portfolio",1,IF(AND($B173="Project",$C173&lt;&gt;"",$C173&lt;&gt;"Outside the portfolio"),IFERROR(IF(AND(INDEX($B$6:$B$305,MATCH($C173,$A$6:$A$305,0))="Program",INDEX($C$6:$C$305,MATCH($C173,$A$6:$A$305,0))="Portfolio"),1,0),0),0)))</f>
        <v/>
      </c>
      <c r="AA173" s="28">
        <f>IF(AND($A173&lt;&gt;"",$E173="",OR($Q173=1,$D173="Proposed")),1,0)</f>
        <v/>
      </c>
      <c r="AB173" s="28">
        <f>IF(AND($A173&lt;&gt;"",$B173="Program",$F173="",$Q173=1),1,0)</f>
        <v/>
      </c>
      <c r="AC173" s="28">
        <f>IF(OR($A173="",$D173="Completed",$D173="Terminated"),0,IF($C173="",1,IF($C173="Portfolio",0,IF($C173="Outside the portfolio",IF($Q173=1,2,0),IF($B173="Project",IF(IFERROR(INDEX($B$6:$B$305,MATCH($C173,$A$6:$A$305,0)),"")="Program",0,1),1)))))</f>
        <v/>
      </c>
      <c r="AD173" s="28">
        <f>IF(AND($A173&lt;&gt;"",OR($M173="■ Red",$M173="◧ Amber"),$L173=""),1,0)</f>
        <v/>
      </c>
      <c r="AE173" s="28">
        <f>$AA173+$AB173+IF($AC173&gt;0,1,0)+$AD173+$AG173+$AH173</f>
        <v/>
      </c>
      <c r="AF173" s="25" t="n"/>
      <c r="AG173" s="28">
        <f>IF(AND($A173&lt;&gt;"",$K173&lt;&gt;"",$C173&lt;&gt;"Portfolio",$D173&lt;&gt;"Completed",$D173&lt;&gt;"Terminated"),1,0)</f>
        <v/>
      </c>
      <c r="AH173" s="28">
        <f>IF(AND($A173&lt;&gt;"",COUNTIF($A$6:$A$305,$A173)&gt;1),1,0)</f>
        <v/>
      </c>
      <c r="AI173" s="28">
        <f>IF(AND($A173&lt;&gt;"",$C173="Portfolio"),COUNTIFS($C$6:$C173,"Portfolio",$A$6:$A173,"&lt;&gt;"),"")</f>
        <v/>
      </c>
    </row>
    <row r="174">
      <c r="A174" s="25" t="n"/>
      <c r="B174" s="25" t="n"/>
      <c r="C174" s="25" t="n"/>
      <c r="D174" s="25" t="n"/>
      <c r="E174" s="25" t="n"/>
      <c r="F174" s="25" t="n"/>
      <c r="G174" s="25" t="n"/>
      <c r="H174" s="26" t="n"/>
      <c r="I174" s="26" t="n"/>
      <c r="J174" s="27" t="n"/>
      <c r="K174" s="27" t="n"/>
      <c r="L174" s="23" t="n"/>
      <c r="M174" s="28">
        <f>IF($A174="","",IF($D174="","Not read",IF($Q174=0,"Not counted",IF(MAX($X174,$Y174)=3,"■ Red",IF(MAX($X174,$Y174)=2,"◧ Amber",IF(MAX($X174,$Y174)=1,"□ On track","Not read"))))))</f>
        <v/>
      </c>
      <c r="N174" s="28">
        <f>IF(OR($A174="",$B174&lt;&gt;"Program"),"","■ "&amp;COUNTIFS($C$6:$C$305,$A174,$M$6:$M$305,"■ Red")&amp;" Red, ◧ "&amp;COUNTIFS($C$6:$C$305,$A174,$M$6:$M$305,"◧ Amber")&amp;" Amber")</f>
        <v/>
      </c>
      <c r="O174" s="29">
        <f>IF(OR($A174="",$E174=""),"",COUNTIFS($E$6:$E$305,$E174,$D$6:$D$305,"Active")+COUNTIFS($E$6:$E$305,$E174,$D$6:$D$305,"Paused"))</f>
        <v/>
      </c>
      <c r="P174" s="28">
        <f>IF($A174="","",IF($AE174=0,"○ Clear",IF($AA174=1,"△ No owner",IF($AC174=1,"△ Check Sits under",IF($AC174=2,"△ Outside the portfolio",IF($AB174=1,"△ No sponsor",IF($AH174=1,"△ Name used twice",IF($AG174=1,"△ Budget only counts under Portfolio","△ No variance note"))))))&amp;IF($AE174&gt;1," (+"&amp;($AE174-1)&amp;" more)","")))</f>
        <v/>
      </c>
      <c r="Q174" s="28">
        <f>IF(AND($A174&lt;&gt;"",OR($D174="Active",$D174="Paused")),1,0)</f>
        <v/>
      </c>
      <c r="R174" s="28">
        <f>IFERROR(INDEX($A$6:$A$305,MATCH(167,$S$6:$S$305,0)),"")</f>
        <v/>
      </c>
      <c r="S174" s="28">
        <f>IF(AND($A174&lt;&gt;"",$B174="Program"),COUNTIFS($B$6:$B174,"Program",$A$6:$A174,"&lt;&gt;"),"")</f>
        <v/>
      </c>
      <c r="T174" s="30">
        <f>IF(AND($A174&lt;&gt;"",$B174="Program"),SUMPRODUCT(MAX(($C$6:$C$305=$A174)*($B$6:$B$305="Project")*($D$6:$D$305&lt;&gt;"Proposed")*$I$6:$I$305)),0)</f>
        <v/>
      </c>
      <c r="U174" s="30">
        <f>IF($I174&lt;&gt;"",$I174,IF($T174&gt;0,$T174,""))</f>
        <v/>
      </c>
      <c r="V174" s="28">
        <f>IF(AND($A174&lt;&gt;"",$B174="Program"),SUMIFS($J$6:$J$305,$C$6:$C$305,$A174,$B$6:$B$305,"Project",$D$6:$D$305,"&lt;&gt;Proposed"),0)</f>
        <v/>
      </c>
      <c r="W174" s="28">
        <f>IF(AND($A174&lt;&gt;"",$B174="Program"),COUNTIFS($C$6:$C$305,$A174,$B$6:$B$305,"Project",$D$6:$D$305,"&lt;&gt;Proposed")-COUNTIFS($C$6:$C$305,$A174,$B$6:$B$305,"Project",$D$6:$D$305,"&lt;&gt;Proposed",$J$6:$J$305,"&gt;=0"),0)</f>
        <v/>
      </c>
      <c r="X174" s="28">
        <f>IF(OR($Q174=0,$H174="",$AF174="Sprint"),0,IF(AND($B174="Project",$H174&lt;TODAY()),3,IF($U174="",0,IF($U174&lt;=$H174,1,IF(NETWORKDAYS($H174,$U174)-1&gt;IF($B174="Program",Checks!$B$7,Checks!$B$6),3,2)))))</f>
        <v/>
      </c>
      <c r="Y174" s="28">
        <f>IF(OR($Q174=0,$K174="",$K174=0,$AF174="Sprint"),0,IF(AND($B174="Project",$J174=""),0,IF(IF($B174="Program",$V174,$J174)&gt;$K174*(1+Checks!$B$8),3,IF(IF($B174="Program",$V174,$J174)&gt;$K174,2,IF(AND($B174="Program",OR($W174&gt;0,$V174=0)),0,1)))))</f>
        <v/>
      </c>
      <c r="Z174" s="28">
        <f>IF($A174="",0,IF($C174="Portfolio",1,IF(AND($B174="Project",$C174&lt;&gt;"",$C174&lt;&gt;"Outside the portfolio"),IFERROR(IF(AND(INDEX($B$6:$B$305,MATCH($C174,$A$6:$A$305,0))="Program",INDEX($C$6:$C$305,MATCH($C174,$A$6:$A$305,0))="Portfolio"),1,0),0),0)))</f>
        <v/>
      </c>
      <c r="AA174" s="28">
        <f>IF(AND($A174&lt;&gt;"",$E174="",OR($Q174=1,$D174="Proposed")),1,0)</f>
        <v/>
      </c>
      <c r="AB174" s="28">
        <f>IF(AND($A174&lt;&gt;"",$B174="Program",$F174="",$Q174=1),1,0)</f>
        <v/>
      </c>
      <c r="AC174" s="28">
        <f>IF(OR($A174="",$D174="Completed",$D174="Terminated"),0,IF($C174="",1,IF($C174="Portfolio",0,IF($C174="Outside the portfolio",IF($Q174=1,2,0),IF($B174="Project",IF(IFERROR(INDEX($B$6:$B$305,MATCH($C174,$A$6:$A$305,0)),"")="Program",0,1),1)))))</f>
        <v/>
      </c>
      <c r="AD174" s="28">
        <f>IF(AND($A174&lt;&gt;"",OR($M174="■ Red",$M174="◧ Amber"),$L174=""),1,0)</f>
        <v/>
      </c>
      <c r="AE174" s="28">
        <f>$AA174+$AB174+IF($AC174&gt;0,1,0)+$AD174+$AG174+$AH174</f>
        <v/>
      </c>
      <c r="AF174" s="25" t="n"/>
      <c r="AG174" s="28">
        <f>IF(AND($A174&lt;&gt;"",$K174&lt;&gt;"",$C174&lt;&gt;"Portfolio",$D174&lt;&gt;"Completed",$D174&lt;&gt;"Terminated"),1,0)</f>
        <v/>
      </c>
      <c r="AH174" s="28">
        <f>IF(AND($A174&lt;&gt;"",COUNTIF($A$6:$A$305,$A174)&gt;1),1,0)</f>
        <v/>
      </c>
      <c r="AI174" s="28">
        <f>IF(AND($A174&lt;&gt;"",$C174="Portfolio"),COUNTIFS($C$6:$C174,"Portfolio",$A$6:$A174,"&lt;&gt;"),"")</f>
        <v/>
      </c>
    </row>
    <row r="175">
      <c r="A175" s="25" t="n"/>
      <c r="B175" s="25" t="n"/>
      <c r="C175" s="25" t="n"/>
      <c r="D175" s="25" t="n"/>
      <c r="E175" s="25" t="n"/>
      <c r="F175" s="25" t="n"/>
      <c r="G175" s="25" t="n"/>
      <c r="H175" s="26" t="n"/>
      <c r="I175" s="26" t="n"/>
      <c r="J175" s="27" t="n"/>
      <c r="K175" s="27" t="n"/>
      <c r="L175" s="23" t="n"/>
      <c r="M175" s="28">
        <f>IF($A175="","",IF($D175="","Not read",IF($Q175=0,"Not counted",IF(MAX($X175,$Y175)=3,"■ Red",IF(MAX($X175,$Y175)=2,"◧ Amber",IF(MAX($X175,$Y175)=1,"□ On track","Not read"))))))</f>
        <v/>
      </c>
      <c r="N175" s="28">
        <f>IF(OR($A175="",$B175&lt;&gt;"Program"),"","■ "&amp;COUNTIFS($C$6:$C$305,$A175,$M$6:$M$305,"■ Red")&amp;" Red, ◧ "&amp;COUNTIFS($C$6:$C$305,$A175,$M$6:$M$305,"◧ Amber")&amp;" Amber")</f>
        <v/>
      </c>
      <c r="O175" s="29">
        <f>IF(OR($A175="",$E175=""),"",COUNTIFS($E$6:$E$305,$E175,$D$6:$D$305,"Active")+COUNTIFS($E$6:$E$305,$E175,$D$6:$D$305,"Paused"))</f>
        <v/>
      </c>
      <c r="P175" s="28">
        <f>IF($A175="","",IF($AE175=0,"○ Clear",IF($AA175=1,"△ No owner",IF($AC175=1,"△ Check Sits under",IF($AC175=2,"△ Outside the portfolio",IF($AB175=1,"△ No sponsor",IF($AH175=1,"△ Name used twice",IF($AG175=1,"△ Budget only counts under Portfolio","△ No variance note"))))))&amp;IF($AE175&gt;1," (+"&amp;($AE175-1)&amp;" more)","")))</f>
        <v/>
      </c>
      <c r="Q175" s="28">
        <f>IF(AND($A175&lt;&gt;"",OR($D175="Active",$D175="Paused")),1,0)</f>
        <v/>
      </c>
      <c r="R175" s="28">
        <f>IFERROR(INDEX($A$6:$A$305,MATCH(168,$S$6:$S$305,0)),"")</f>
        <v/>
      </c>
      <c r="S175" s="28">
        <f>IF(AND($A175&lt;&gt;"",$B175="Program"),COUNTIFS($B$6:$B175,"Program",$A$6:$A175,"&lt;&gt;"),"")</f>
        <v/>
      </c>
      <c r="T175" s="30">
        <f>IF(AND($A175&lt;&gt;"",$B175="Program"),SUMPRODUCT(MAX(($C$6:$C$305=$A175)*($B$6:$B$305="Project")*($D$6:$D$305&lt;&gt;"Proposed")*$I$6:$I$305)),0)</f>
        <v/>
      </c>
      <c r="U175" s="30">
        <f>IF($I175&lt;&gt;"",$I175,IF($T175&gt;0,$T175,""))</f>
        <v/>
      </c>
      <c r="V175" s="28">
        <f>IF(AND($A175&lt;&gt;"",$B175="Program"),SUMIFS($J$6:$J$305,$C$6:$C$305,$A175,$B$6:$B$305,"Project",$D$6:$D$305,"&lt;&gt;Proposed"),0)</f>
        <v/>
      </c>
      <c r="W175" s="28">
        <f>IF(AND($A175&lt;&gt;"",$B175="Program"),COUNTIFS($C$6:$C$305,$A175,$B$6:$B$305,"Project",$D$6:$D$305,"&lt;&gt;Proposed")-COUNTIFS($C$6:$C$305,$A175,$B$6:$B$305,"Project",$D$6:$D$305,"&lt;&gt;Proposed",$J$6:$J$305,"&gt;=0"),0)</f>
        <v/>
      </c>
      <c r="X175" s="28">
        <f>IF(OR($Q175=0,$H175="",$AF175="Sprint"),0,IF(AND($B175="Project",$H175&lt;TODAY()),3,IF($U175="",0,IF($U175&lt;=$H175,1,IF(NETWORKDAYS($H175,$U175)-1&gt;IF($B175="Program",Checks!$B$7,Checks!$B$6),3,2)))))</f>
        <v/>
      </c>
      <c r="Y175" s="28">
        <f>IF(OR($Q175=0,$K175="",$K175=0,$AF175="Sprint"),0,IF(AND($B175="Project",$J175=""),0,IF(IF($B175="Program",$V175,$J175)&gt;$K175*(1+Checks!$B$8),3,IF(IF($B175="Program",$V175,$J175)&gt;$K175,2,IF(AND($B175="Program",OR($W175&gt;0,$V175=0)),0,1)))))</f>
        <v/>
      </c>
      <c r="Z175" s="28">
        <f>IF($A175="",0,IF($C175="Portfolio",1,IF(AND($B175="Project",$C175&lt;&gt;"",$C175&lt;&gt;"Outside the portfolio"),IFERROR(IF(AND(INDEX($B$6:$B$305,MATCH($C175,$A$6:$A$305,0))="Program",INDEX($C$6:$C$305,MATCH($C175,$A$6:$A$305,0))="Portfolio"),1,0),0),0)))</f>
        <v/>
      </c>
      <c r="AA175" s="28">
        <f>IF(AND($A175&lt;&gt;"",$E175="",OR($Q175=1,$D175="Proposed")),1,0)</f>
        <v/>
      </c>
      <c r="AB175" s="28">
        <f>IF(AND($A175&lt;&gt;"",$B175="Program",$F175="",$Q175=1),1,0)</f>
        <v/>
      </c>
      <c r="AC175" s="28">
        <f>IF(OR($A175="",$D175="Completed",$D175="Terminated"),0,IF($C175="",1,IF($C175="Portfolio",0,IF($C175="Outside the portfolio",IF($Q175=1,2,0),IF($B175="Project",IF(IFERROR(INDEX($B$6:$B$305,MATCH($C175,$A$6:$A$305,0)),"")="Program",0,1),1)))))</f>
        <v/>
      </c>
      <c r="AD175" s="28">
        <f>IF(AND($A175&lt;&gt;"",OR($M175="■ Red",$M175="◧ Amber"),$L175=""),1,0)</f>
        <v/>
      </c>
      <c r="AE175" s="28">
        <f>$AA175+$AB175+IF($AC175&gt;0,1,0)+$AD175+$AG175+$AH175</f>
        <v/>
      </c>
      <c r="AF175" s="25" t="n"/>
      <c r="AG175" s="28">
        <f>IF(AND($A175&lt;&gt;"",$K175&lt;&gt;"",$C175&lt;&gt;"Portfolio",$D175&lt;&gt;"Completed",$D175&lt;&gt;"Terminated"),1,0)</f>
        <v/>
      </c>
      <c r="AH175" s="28">
        <f>IF(AND($A175&lt;&gt;"",COUNTIF($A$6:$A$305,$A175)&gt;1),1,0)</f>
        <v/>
      </c>
      <c r="AI175" s="28">
        <f>IF(AND($A175&lt;&gt;"",$C175="Portfolio"),COUNTIFS($C$6:$C175,"Portfolio",$A$6:$A175,"&lt;&gt;"),"")</f>
        <v/>
      </c>
    </row>
    <row r="176">
      <c r="A176" s="25" t="n"/>
      <c r="B176" s="25" t="n"/>
      <c r="C176" s="25" t="n"/>
      <c r="D176" s="25" t="n"/>
      <c r="E176" s="25" t="n"/>
      <c r="F176" s="25" t="n"/>
      <c r="G176" s="25" t="n"/>
      <c r="H176" s="26" t="n"/>
      <c r="I176" s="26" t="n"/>
      <c r="J176" s="27" t="n"/>
      <c r="K176" s="27" t="n"/>
      <c r="L176" s="23" t="n"/>
      <c r="M176" s="28">
        <f>IF($A176="","",IF($D176="","Not read",IF($Q176=0,"Not counted",IF(MAX($X176,$Y176)=3,"■ Red",IF(MAX($X176,$Y176)=2,"◧ Amber",IF(MAX($X176,$Y176)=1,"□ On track","Not read"))))))</f>
        <v/>
      </c>
      <c r="N176" s="28">
        <f>IF(OR($A176="",$B176&lt;&gt;"Program"),"","■ "&amp;COUNTIFS($C$6:$C$305,$A176,$M$6:$M$305,"■ Red")&amp;" Red, ◧ "&amp;COUNTIFS($C$6:$C$305,$A176,$M$6:$M$305,"◧ Amber")&amp;" Amber")</f>
        <v/>
      </c>
      <c r="O176" s="29">
        <f>IF(OR($A176="",$E176=""),"",COUNTIFS($E$6:$E$305,$E176,$D$6:$D$305,"Active")+COUNTIFS($E$6:$E$305,$E176,$D$6:$D$305,"Paused"))</f>
        <v/>
      </c>
      <c r="P176" s="28">
        <f>IF($A176="","",IF($AE176=0,"○ Clear",IF($AA176=1,"△ No owner",IF($AC176=1,"△ Check Sits under",IF($AC176=2,"△ Outside the portfolio",IF($AB176=1,"△ No sponsor",IF($AH176=1,"△ Name used twice",IF($AG176=1,"△ Budget only counts under Portfolio","△ No variance note"))))))&amp;IF($AE176&gt;1," (+"&amp;($AE176-1)&amp;" more)","")))</f>
        <v/>
      </c>
      <c r="Q176" s="28">
        <f>IF(AND($A176&lt;&gt;"",OR($D176="Active",$D176="Paused")),1,0)</f>
        <v/>
      </c>
      <c r="R176" s="28">
        <f>IFERROR(INDEX($A$6:$A$305,MATCH(169,$S$6:$S$305,0)),"")</f>
        <v/>
      </c>
      <c r="S176" s="28">
        <f>IF(AND($A176&lt;&gt;"",$B176="Program"),COUNTIFS($B$6:$B176,"Program",$A$6:$A176,"&lt;&gt;"),"")</f>
        <v/>
      </c>
      <c r="T176" s="30">
        <f>IF(AND($A176&lt;&gt;"",$B176="Program"),SUMPRODUCT(MAX(($C$6:$C$305=$A176)*($B$6:$B$305="Project")*($D$6:$D$305&lt;&gt;"Proposed")*$I$6:$I$305)),0)</f>
        <v/>
      </c>
      <c r="U176" s="30">
        <f>IF($I176&lt;&gt;"",$I176,IF($T176&gt;0,$T176,""))</f>
        <v/>
      </c>
      <c r="V176" s="28">
        <f>IF(AND($A176&lt;&gt;"",$B176="Program"),SUMIFS($J$6:$J$305,$C$6:$C$305,$A176,$B$6:$B$305,"Project",$D$6:$D$305,"&lt;&gt;Proposed"),0)</f>
        <v/>
      </c>
      <c r="W176" s="28">
        <f>IF(AND($A176&lt;&gt;"",$B176="Program"),COUNTIFS($C$6:$C$305,$A176,$B$6:$B$305,"Project",$D$6:$D$305,"&lt;&gt;Proposed")-COUNTIFS($C$6:$C$305,$A176,$B$6:$B$305,"Project",$D$6:$D$305,"&lt;&gt;Proposed",$J$6:$J$305,"&gt;=0"),0)</f>
        <v/>
      </c>
      <c r="X176" s="28">
        <f>IF(OR($Q176=0,$H176="",$AF176="Sprint"),0,IF(AND($B176="Project",$H176&lt;TODAY()),3,IF($U176="",0,IF($U176&lt;=$H176,1,IF(NETWORKDAYS($H176,$U176)-1&gt;IF($B176="Program",Checks!$B$7,Checks!$B$6),3,2)))))</f>
        <v/>
      </c>
      <c r="Y176" s="28">
        <f>IF(OR($Q176=0,$K176="",$K176=0,$AF176="Sprint"),0,IF(AND($B176="Project",$J176=""),0,IF(IF($B176="Program",$V176,$J176)&gt;$K176*(1+Checks!$B$8),3,IF(IF($B176="Program",$V176,$J176)&gt;$K176,2,IF(AND($B176="Program",OR($W176&gt;0,$V176=0)),0,1)))))</f>
        <v/>
      </c>
      <c r="Z176" s="28">
        <f>IF($A176="",0,IF($C176="Portfolio",1,IF(AND($B176="Project",$C176&lt;&gt;"",$C176&lt;&gt;"Outside the portfolio"),IFERROR(IF(AND(INDEX($B$6:$B$305,MATCH($C176,$A$6:$A$305,0))="Program",INDEX($C$6:$C$305,MATCH($C176,$A$6:$A$305,0))="Portfolio"),1,0),0),0)))</f>
        <v/>
      </c>
      <c r="AA176" s="28">
        <f>IF(AND($A176&lt;&gt;"",$E176="",OR($Q176=1,$D176="Proposed")),1,0)</f>
        <v/>
      </c>
      <c r="AB176" s="28">
        <f>IF(AND($A176&lt;&gt;"",$B176="Program",$F176="",$Q176=1),1,0)</f>
        <v/>
      </c>
      <c r="AC176" s="28">
        <f>IF(OR($A176="",$D176="Completed",$D176="Terminated"),0,IF($C176="",1,IF($C176="Portfolio",0,IF($C176="Outside the portfolio",IF($Q176=1,2,0),IF($B176="Project",IF(IFERROR(INDEX($B$6:$B$305,MATCH($C176,$A$6:$A$305,0)),"")="Program",0,1),1)))))</f>
        <v/>
      </c>
      <c r="AD176" s="28">
        <f>IF(AND($A176&lt;&gt;"",OR($M176="■ Red",$M176="◧ Amber"),$L176=""),1,0)</f>
        <v/>
      </c>
      <c r="AE176" s="28">
        <f>$AA176+$AB176+IF($AC176&gt;0,1,0)+$AD176+$AG176+$AH176</f>
        <v/>
      </c>
      <c r="AF176" s="25" t="n"/>
      <c r="AG176" s="28">
        <f>IF(AND($A176&lt;&gt;"",$K176&lt;&gt;"",$C176&lt;&gt;"Portfolio",$D176&lt;&gt;"Completed",$D176&lt;&gt;"Terminated"),1,0)</f>
        <v/>
      </c>
      <c r="AH176" s="28">
        <f>IF(AND($A176&lt;&gt;"",COUNTIF($A$6:$A$305,$A176)&gt;1),1,0)</f>
        <v/>
      </c>
      <c r="AI176" s="28">
        <f>IF(AND($A176&lt;&gt;"",$C176="Portfolio"),COUNTIFS($C$6:$C176,"Portfolio",$A$6:$A176,"&lt;&gt;"),"")</f>
        <v/>
      </c>
    </row>
    <row r="177">
      <c r="A177" s="25" t="n"/>
      <c r="B177" s="25" t="n"/>
      <c r="C177" s="25" t="n"/>
      <c r="D177" s="25" t="n"/>
      <c r="E177" s="25" t="n"/>
      <c r="F177" s="25" t="n"/>
      <c r="G177" s="25" t="n"/>
      <c r="H177" s="26" t="n"/>
      <c r="I177" s="26" t="n"/>
      <c r="J177" s="27" t="n"/>
      <c r="K177" s="27" t="n"/>
      <c r="L177" s="23" t="n"/>
      <c r="M177" s="28">
        <f>IF($A177="","",IF($D177="","Not read",IF($Q177=0,"Not counted",IF(MAX($X177,$Y177)=3,"■ Red",IF(MAX($X177,$Y177)=2,"◧ Amber",IF(MAX($X177,$Y177)=1,"□ On track","Not read"))))))</f>
        <v/>
      </c>
      <c r="N177" s="28">
        <f>IF(OR($A177="",$B177&lt;&gt;"Program"),"","■ "&amp;COUNTIFS($C$6:$C$305,$A177,$M$6:$M$305,"■ Red")&amp;" Red, ◧ "&amp;COUNTIFS($C$6:$C$305,$A177,$M$6:$M$305,"◧ Amber")&amp;" Amber")</f>
        <v/>
      </c>
      <c r="O177" s="29">
        <f>IF(OR($A177="",$E177=""),"",COUNTIFS($E$6:$E$305,$E177,$D$6:$D$305,"Active")+COUNTIFS($E$6:$E$305,$E177,$D$6:$D$305,"Paused"))</f>
        <v/>
      </c>
      <c r="P177" s="28">
        <f>IF($A177="","",IF($AE177=0,"○ Clear",IF($AA177=1,"△ No owner",IF($AC177=1,"△ Check Sits under",IF($AC177=2,"△ Outside the portfolio",IF($AB177=1,"△ No sponsor",IF($AH177=1,"△ Name used twice",IF($AG177=1,"△ Budget only counts under Portfolio","△ No variance note"))))))&amp;IF($AE177&gt;1," (+"&amp;($AE177-1)&amp;" more)","")))</f>
        <v/>
      </c>
      <c r="Q177" s="28">
        <f>IF(AND($A177&lt;&gt;"",OR($D177="Active",$D177="Paused")),1,0)</f>
        <v/>
      </c>
      <c r="R177" s="28">
        <f>IFERROR(INDEX($A$6:$A$305,MATCH(170,$S$6:$S$305,0)),"")</f>
        <v/>
      </c>
      <c r="S177" s="28">
        <f>IF(AND($A177&lt;&gt;"",$B177="Program"),COUNTIFS($B$6:$B177,"Program",$A$6:$A177,"&lt;&gt;"),"")</f>
        <v/>
      </c>
      <c r="T177" s="30">
        <f>IF(AND($A177&lt;&gt;"",$B177="Program"),SUMPRODUCT(MAX(($C$6:$C$305=$A177)*($B$6:$B$305="Project")*($D$6:$D$305&lt;&gt;"Proposed")*$I$6:$I$305)),0)</f>
        <v/>
      </c>
      <c r="U177" s="30">
        <f>IF($I177&lt;&gt;"",$I177,IF($T177&gt;0,$T177,""))</f>
        <v/>
      </c>
      <c r="V177" s="28">
        <f>IF(AND($A177&lt;&gt;"",$B177="Program"),SUMIFS($J$6:$J$305,$C$6:$C$305,$A177,$B$6:$B$305,"Project",$D$6:$D$305,"&lt;&gt;Proposed"),0)</f>
        <v/>
      </c>
      <c r="W177" s="28">
        <f>IF(AND($A177&lt;&gt;"",$B177="Program"),COUNTIFS($C$6:$C$305,$A177,$B$6:$B$305,"Project",$D$6:$D$305,"&lt;&gt;Proposed")-COUNTIFS($C$6:$C$305,$A177,$B$6:$B$305,"Project",$D$6:$D$305,"&lt;&gt;Proposed",$J$6:$J$305,"&gt;=0"),0)</f>
        <v/>
      </c>
      <c r="X177" s="28">
        <f>IF(OR($Q177=0,$H177="",$AF177="Sprint"),0,IF(AND($B177="Project",$H177&lt;TODAY()),3,IF($U177="",0,IF($U177&lt;=$H177,1,IF(NETWORKDAYS($H177,$U177)-1&gt;IF($B177="Program",Checks!$B$7,Checks!$B$6),3,2)))))</f>
        <v/>
      </c>
      <c r="Y177" s="28">
        <f>IF(OR($Q177=0,$K177="",$K177=0,$AF177="Sprint"),0,IF(AND($B177="Project",$J177=""),0,IF(IF($B177="Program",$V177,$J177)&gt;$K177*(1+Checks!$B$8),3,IF(IF($B177="Program",$V177,$J177)&gt;$K177,2,IF(AND($B177="Program",OR($W177&gt;0,$V177=0)),0,1)))))</f>
        <v/>
      </c>
      <c r="Z177" s="28">
        <f>IF($A177="",0,IF($C177="Portfolio",1,IF(AND($B177="Project",$C177&lt;&gt;"",$C177&lt;&gt;"Outside the portfolio"),IFERROR(IF(AND(INDEX($B$6:$B$305,MATCH($C177,$A$6:$A$305,0))="Program",INDEX($C$6:$C$305,MATCH($C177,$A$6:$A$305,0))="Portfolio"),1,0),0),0)))</f>
        <v/>
      </c>
      <c r="AA177" s="28">
        <f>IF(AND($A177&lt;&gt;"",$E177="",OR($Q177=1,$D177="Proposed")),1,0)</f>
        <v/>
      </c>
      <c r="AB177" s="28">
        <f>IF(AND($A177&lt;&gt;"",$B177="Program",$F177="",$Q177=1),1,0)</f>
        <v/>
      </c>
      <c r="AC177" s="28">
        <f>IF(OR($A177="",$D177="Completed",$D177="Terminated"),0,IF($C177="",1,IF($C177="Portfolio",0,IF($C177="Outside the portfolio",IF($Q177=1,2,0),IF($B177="Project",IF(IFERROR(INDEX($B$6:$B$305,MATCH($C177,$A$6:$A$305,0)),"")="Program",0,1),1)))))</f>
        <v/>
      </c>
      <c r="AD177" s="28">
        <f>IF(AND($A177&lt;&gt;"",OR($M177="■ Red",$M177="◧ Amber"),$L177=""),1,0)</f>
        <v/>
      </c>
      <c r="AE177" s="28">
        <f>$AA177+$AB177+IF($AC177&gt;0,1,0)+$AD177+$AG177+$AH177</f>
        <v/>
      </c>
      <c r="AF177" s="25" t="n"/>
      <c r="AG177" s="28">
        <f>IF(AND($A177&lt;&gt;"",$K177&lt;&gt;"",$C177&lt;&gt;"Portfolio",$D177&lt;&gt;"Completed",$D177&lt;&gt;"Terminated"),1,0)</f>
        <v/>
      </c>
      <c r="AH177" s="28">
        <f>IF(AND($A177&lt;&gt;"",COUNTIF($A$6:$A$305,$A177)&gt;1),1,0)</f>
        <v/>
      </c>
      <c r="AI177" s="28">
        <f>IF(AND($A177&lt;&gt;"",$C177="Portfolio"),COUNTIFS($C$6:$C177,"Portfolio",$A$6:$A177,"&lt;&gt;"),"")</f>
        <v/>
      </c>
    </row>
    <row r="178">
      <c r="A178" s="25" t="n"/>
      <c r="B178" s="25" t="n"/>
      <c r="C178" s="25" t="n"/>
      <c r="D178" s="25" t="n"/>
      <c r="E178" s="25" t="n"/>
      <c r="F178" s="25" t="n"/>
      <c r="G178" s="25" t="n"/>
      <c r="H178" s="26" t="n"/>
      <c r="I178" s="26" t="n"/>
      <c r="J178" s="27" t="n"/>
      <c r="K178" s="27" t="n"/>
      <c r="L178" s="23" t="n"/>
      <c r="M178" s="28">
        <f>IF($A178="","",IF($D178="","Not read",IF($Q178=0,"Not counted",IF(MAX($X178,$Y178)=3,"■ Red",IF(MAX($X178,$Y178)=2,"◧ Amber",IF(MAX($X178,$Y178)=1,"□ On track","Not read"))))))</f>
        <v/>
      </c>
      <c r="N178" s="28">
        <f>IF(OR($A178="",$B178&lt;&gt;"Program"),"","■ "&amp;COUNTIFS($C$6:$C$305,$A178,$M$6:$M$305,"■ Red")&amp;" Red, ◧ "&amp;COUNTIFS($C$6:$C$305,$A178,$M$6:$M$305,"◧ Amber")&amp;" Amber")</f>
        <v/>
      </c>
      <c r="O178" s="29">
        <f>IF(OR($A178="",$E178=""),"",COUNTIFS($E$6:$E$305,$E178,$D$6:$D$305,"Active")+COUNTIFS($E$6:$E$305,$E178,$D$6:$D$305,"Paused"))</f>
        <v/>
      </c>
      <c r="P178" s="28">
        <f>IF($A178="","",IF($AE178=0,"○ Clear",IF($AA178=1,"△ No owner",IF($AC178=1,"△ Check Sits under",IF($AC178=2,"△ Outside the portfolio",IF($AB178=1,"△ No sponsor",IF($AH178=1,"△ Name used twice",IF($AG178=1,"△ Budget only counts under Portfolio","△ No variance note"))))))&amp;IF($AE178&gt;1," (+"&amp;($AE178-1)&amp;" more)","")))</f>
        <v/>
      </c>
      <c r="Q178" s="28">
        <f>IF(AND($A178&lt;&gt;"",OR($D178="Active",$D178="Paused")),1,0)</f>
        <v/>
      </c>
      <c r="R178" s="28">
        <f>IFERROR(INDEX($A$6:$A$305,MATCH(171,$S$6:$S$305,0)),"")</f>
        <v/>
      </c>
      <c r="S178" s="28">
        <f>IF(AND($A178&lt;&gt;"",$B178="Program"),COUNTIFS($B$6:$B178,"Program",$A$6:$A178,"&lt;&gt;"),"")</f>
        <v/>
      </c>
      <c r="T178" s="30">
        <f>IF(AND($A178&lt;&gt;"",$B178="Program"),SUMPRODUCT(MAX(($C$6:$C$305=$A178)*($B$6:$B$305="Project")*($D$6:$D$305&lt;&gt;"Proposed")*$I$6:$I$305)),0)</f>
        <v/>
      </c>
      <c r="U178" s="30">
        <f>IF($I178&lt;&gt;"",$I178,IF($T178&gt;0,$T178,""))</f>
        <v/>
      </c>
      <c r="V178" s="28">
        <f>IF(AND($A178&lt;&gt;"",$B178="Program"),SUMIFS($J$6:$J$305,$C$6:$C$305,$A178,$B$6:$B$305,"Project",$D$6:$D$305,"&lt;&gt;Proposed"),0)</f>
        <v/>
      </c>
      <c r="W178" s="28">
        <f>IF(AND($A178&lt;&gt;"",$B178="Program"),COUNTIFS($C$6:$C$305,$A178,$B$6:$B$305,"Project",$D$6:$D$305,"&lt;&gt;Proposed")-COUNTIFS($C$6:$C$305,$A178,$B$6:$B$305,"Project",$D$6:$D$305,"&lt;&gt;Proposed",$J$6:$J$305,"&gt;=0"),0)</f>
        <v/>
      </c>
      <c r="X178" s="28">
        <f>IF(OR($Q178=0,$H178="",$AF178="Sprint"),0,IF(AND($B178="Project",$H178&lt;TODAY()),3,IF($U178="",0,IF($U178&lt;=$H178,1,IF(NETWORKDAYS($H178,$U178)-1&gt;IF($B178="Program",Checks!$B$7,Checks!$B$6),3,2)))))</f>
        <v/>
      </c>
      <c r="Y178" s="28">
        <f>IF(OR($Q178=0,$K178="",$K178=0,$AF178="Sprint"),0,IF(AND($B178="Project",$J178=""),0,IF(IF($B178="Program",$V178,$J178)&gt;$K178*(1+Checks!$B$8),3,IF(IF($B178="Program",$V178,$J178)&gt;$K178,2,IF(AND($B178="Program",OR($W178&gt;0,$V178=0)),0,1)))))</f>
        <v/>
      </c>
      <c r="Z178" s="28">
        <f>IF($A178="",0,IF($C178="Portfolio",1,IF(AND($B178="Project",$C178&lt;&gt;"",$C178&lt;&gt;"Outside the portfolio"),IFERROR(IF(AND(INDEX($B$6:$B$305,MATCH($C178,$A$6:$A$305,0))="Program",INDEX($C$6:$C$305,MATCH($C178,$A$6:$A$305,0))="Portfolio"),1,0),0),0)))</f>
        <v/>
      </c>
      <c r="AA178" s="28">
        <f>IF(AND($A178&lt;&gt;"",$E178="",OR($Q178=1,$D178="Proposed")),1,0)</f>
        <v/>
      </c>
      <c r="AB178" s="28">
        <f>IF(AND($A178&lt;&gt;"",$B178="Program",$F178="",$Q178=1),1,0)</f>
        <v/>
      </c>
      <c r="AC178" s="28">
        <f>IF(OR($A178="",$D178="Completed",$D178="Terminated"),0,IF($C178="",1,IF($C178="Portfolio",0,IF($C178="Outside the portfolio",IF($Q178=1,2,0),IF($B178="Project",IF(IFERROR(INDEX($B$6:$B$305,MATCH($C178,$A$6:$A$305,0)),"")="Program",0,1),1)))))</f>
        <v/>
      </c>
      <c r="AD178" s="28">
        <f>IF(AND($A178&lt;&gt;"",OR($M178="■ Red",$M178="◧ Amber"),$L178=""),1,0)</f>
        <v/>
      </c>
      <c r="AE178" s="28">
        <f>$AA178+$AB178+IF($AC178&gt;0,1,0)+$AD178+$AG178+$AH178</f>
        <v/>
      </c>
      <c r="AF178" s="25" t="n"/>
      <c r="AG178" s="28">
        <f>IF(AND($A178&lt;&gt;"",$K178&lt;&gt;"",$C178&lt;&gt;"Portfolio",$D178&lt;&gt;"Completed",$D178&lt;&gt;"Terminated"),1,0)</f>
        <v/>
      </c>
      <c r="AH178" s="28">
        <f>IF(AND($A178&lt;&gt;"",COUNTIF($A$6:$A$305,$A178)&gt;1),1,0)</f>
        <v/>
      </c>
      <c r="AI178" s="28">
        <f>IF(AND($A178&lt;&gt;"",$C178="Portfolio"),COUNTIFS($C$6:$C178,"Portfolio",$A$6:$A178,"&lt;&gt;"),"")</f>
        <v/>
      </c>
    </row>
    <row r="179">
      <c r="A179" s="25" t="n"/>
      <c r="B179" s="25" t="n"/>
      <c r="C179" s="25" t="n"/>
      <c r="D179" s="25" t="n"/>
      <c r="E179" s="25" t="n"/>
      <c r="F179" s="25" t="n"/>
      <c r="G179" s="25" t="n"/>
      <c r="H179" s="26" t="n"/>
      <c r="I179" s="26" t="n"/>
      <c r="J179" s="27" t="n"/>
      <c r="K179" s="27" t="n"/>
      <c r="L179" s="23" t="n"/>
      <c r="M179" s="28">
        <f>IF($A179="","",IF($D179="","Not read",IF($Q179=0,"Not counted",IF(MAX($X179,$Y179)=3,"■ Red",IF(MAX($X179,$Y179)=2,"◧ Amber",IF(MAX($X179,$Y179)=1,"□ On track","Not read"))))))</f>
        <v/>
      </c>
      <c r="N179" s="28">
        <f>IF(OR($A179="",$B179&lt;&gt;"Program"),"","■ "&amp;COUNTIFS($C$6:$C$305,$A179,$M$6:$M$305,"■ Red")&amp;" Red, ◧ "&amp;COUNTIFS($C$6:$C$305,$A179,$M$6:$M$305,"◧ Amber")&amp;" Amber")</f>
        <v/>
      </c>
      <c r="O179" s="29">
        <f>IF(OR($A179="",$E179=""),"",COUNTIFS($E$6:$E$305,$E179,$D$6:$D$305,"Active")+COUNTIFS($E$6:$E$305,$E179,$D$6:$D$305,"Paused"))</f>
        <v/>
      </c>
      <c r="P179" s="28">
        <f>IF($A179="","",IF($AE179=0,"○ Clear",IF($AA179=1,"△ No owner",IF($AC179=1,"△ Check Sits under",IF($AC179=2,"△ Outside the portfolio",IF($AB179=1,"△ No sponsor",IF($AH179=1,"△ Name used twice",IF($AG179=1,"△ Budget only counts under Portfolio","△ No variance note"))))))&amp;IF($AE179&gt;1," (+"&amp;($AE179-1)&amp;" more)","")))</f>
        <v/>
      </c>
      <c r="Q179" s="28">
        <f>IF(AND($A179&lt;&gt;"",OR($D179="Active",$D179="Paused")),1,0)</f>
        <v/>
      </c>
      <c r="R179" s="28">
        <f>IFERROR(INDEX($A$6:$A$305,MATCH(172,$S$6:$S$305,0)),"")</f>
        <v/>
      </c>
      <c r="S179" s="28">
        <f>IF(AND($A179&lt;&gt;"",$B179="Program"),COUNTIFS($B$6:$B179,"Program",$A$6:$A179,"&lt;&gt;"),"")</f>
        <v/>
      </c>
      <c r="T179" s="30">
        <f>IF(AND($A179&lt;&gt;"",$B179="Program"),SUMPRODUCT(MAX(($C$6:$C$305=$A179)*($B$6:$B$305="Project")*($D$6:$D$305&lt;&gt;"Proposed")*$I$6:$I$305)),0)</f>
        <v/>
      </c>
      <c r="U179" s="30">
        <f>IF($I179&lt;&gt;"",$I179,IF($T179&gt;0,$T179,""))</f>
        <v/>
      </c>
      <c r="V179" s="28">
        <f>IF(AND($A179&lt;&gt;"",$B179="Program"),SUMIFS($J$6:$J$305,$C$6:$C$305,$A179,$B$6:$B$305,"Project",$D$6:$D$305,"&lt;&gt;Proposed"),0)</f>
        <v/>
      </c>
      <c r="W179" s="28">
        <f>IF(AND($A179&lt;&gt;"",$B179="Program"),COUNTIFS($C$6:$C$305,$A179,$B$6:$B$305,"Project",$D$6:$D$305,"&lt;&gt;Proposed")-COUNTIFS($C$6:$C$305,$A179,$B$6:$B$305,"Project",$D$6:$D$305,"&lt;&gt;Proposed",$J$6:$J$305,"&gt;=0"),0)</f>
        <v/>
      </c>
      <c r="X179" s="28">
        <f>IF(OR($Q179=0,$H179="",$AF179="Sprint"),0,IF(AND($B179="Project",$H179&lt;TODAY()),3,IF($U179="",0,IF($U179&lt;=$H179,1,IF(NETWORKDAYS($H179,$U179)-1&gt;IF($B179="Program",Checks!$B$7,Checks!$B$6),3,2)))))</f>
        <v/>
      </c>
      <c r="Y179" s="28">
        <f>IF(OR($Q179=0,$K179="",$K179=0,$AF179="Sprint"),0,IF(AND($B179="Project",$J179=""),0,IF(IF($B179="Program",$V179,$J179)&gt;$K179*(1+Checks!$B$8),3,IF(IF($B179="Program",$V179,$J179)&gt;$K179,2,IF(AND($B179="Program",OR($W179&gt;0,$V179=0)),0,1)))))</f>
        <v/>
      </c>
      <c r="Z179" s="28">
        <f>IF($A179="",0,IF($C179="Portfolio",1,IF(AND($B179="Project",$C179&lt;&gt;"",$C179&lt;&gt;"Outside the portfolio"),IFERROR(IF(AND(INDEX($B$6:$B$305,MATCH($C179,$A$6:$A$305,0))="Program",INDEX($C$6:$C$305,MATCH($C179,$A$6:$A$305,0))="Portfolio"),1,0),0),0)))</f>
        <v/>
      </c>
      <c r="AA179" s="28">
        <f>IF(AND($A179&lt;&gt;"",$E179="",OR($Q179=1,$D179="Proposed")),1,0)</f>
        <v/>
      </c>
      <c r="AB179" s="28">
        <f>IF(AND($A179&lt;&gt;"",$B179="Program",$F179="",$Q179=1),1,0)</f>
        <v/>
      </c>
      <c r="AC179" s="28">
        <f>IF(OR($A179="",$D179="Completed",$D179="Terminated"),0,IF($C179="",1,IF($C179="Portfolio",0,IF($C179="Outside the portfolio",IF($Q179=1,2,0),IF($B179="Project",IF(IFERROR(INDEX($B$6:$B$305,MATCH($C179,$A$6:$A$305,0)),"")="Program",0,1),1)))))</f>
        <v/>
      </c>
      <c r="AD179" s="28">
        <f>IF(AND($A179&lt;&gt;"",OR($M179="■ Red",$M179="◧ Amber"),$L179=""),1,0)</f>
        <v/>
      </c>
      <c r="AE179" s="28">
        <f>$AA179+$AB179+IF($AC179&gt;0,1,0)+$AD179+$AG179+$AH179</f>
        <v/>
      </c>
      <c r="AF179" s="25" t="n"/>
      <c r="AG179" s="28">
        <f>IF(AND($A179&lt;&gt;"",$K179&lt;&gt;"",$C179&lt;&gt;"Portfolio",$D179&lt;&gt;"Completed",$D179&lt;&gt;"Terminated"),1,0)</f>
        <v/>
      </c>
      <c r="AH179" s="28">
        <f>IF(AND($A179&lt;&gt;"",COUNTIF($A$6:$A$305,$A179)&gt;1),1,0)</f>
        <v/>
      </c>
      <c r="AI179" s="28">
        <f>IF(AND($A179&lt;&gt;"",$C179="Portfolio"),COUNTIFS($C$6:$C179,"Portfolio",$A$6:$A179,"&lt;&gt;"),"")</f>
        <v/>
      </c>
    </row>
    <row r="180">
      <c r="A180" s="25" t="n"/>
      <c r="B180" s="25" t="n"/>
      <c r="C180" s="25" t="n"/>
      <c r="D180" s="25" t="n"/>
      <c r="E180" s="25" t="n"/>
      <c r="F180" s="25" t="n"/>
      <c r="G180" s="25" t="n"/>
      <c r="H180" s="26" t="n"/>
      <c r="I180" s="26" t="n"/>
      <c r="J180" s="27" t="n"/>
      <c r="K180" s="27" t="n"/>
      <c r="L180" s="23" t="n"/>
      <c r="M180" s="28">
        <f>IF($A180="","",IF($D180="","Not read",IF($Q180=0,"Not counted",IF(MAX($X180,$Y180)=3,"■ Red",IF(MAX($X180,$Y180)=2,"◧ Amber",IF(MAX($X180,$Y180)=1,"□ On track","Not read"))))))</f>
        <v/>
      </c>
      <c r="N180" s="28">
        <f>IF(OR($A180="",$B180&lt;&gt;"Program"),"","■ "&amp;COUNTIFS($C$6:$C$305,$A180,$M$6:$M$305,"■ Red")&amp;" Red, ◧ "&amp;COUNTIFS($C$6:$C$305,$A180,$M$6:$M$305,"◧ Amber")&amp;" Amber")</f>
        <v/>
      </c>
      <c r="O180" s="29">
        <f>IF(OR($A180="",$E180=""),"",COUNTIFS($E$6:$E$305,$E180,$D$6:$D$305,"Active")+COUNTIFS($E$6:$E$305,$E180,$D$6:$D$305,"Paused"))</f>
        <v/>
      </c>
      <c r="P180" s="28">
        <f>IF($A180="","",IF($AE180=0,"○ Clear",IF($AA180=1,"△ No owner",IF($AC180=1,"△ Check Sits under",IF($AC180=2,"△ Outside the portfolio",IF($AB180=1,"△ No sponsor",IF($AH180=1,"△ Name used twice",IF($AG180=1,"△ Budget only counts under Portfolio","△ No variance note"))))))&amp;IF($AE180&gt;1," (+"&amp;($AE180-1)&amp;" more)","")))</f>
        <v/>
      </c>
      <c r="Q180" s="28">
        <f>IF(AND($A180&lt;&gt;"",OR($D180="Active",$D180="Paused")),1,0)</f>
        <v/>
      </c>
      <c r="R180" s="28">
        <f>IFERROR(INDEX($A$6:$A$305,MATCH(173,$S$6:$S$305,0)),"")</f>
        <v/>
      </c>
      <c r="S180" s="28">
        <f>IF(AND($A180&lt;&gt;"",$B180="Program"),COUNTIFS($B$6:$B180,"Program",$A$6:$A180,"&lt;&gt;"),"")</f>
        <v/>
      </c>
      <c r="T180" s="30">
        <f>IF(AND($A180&lt;&gt;"",$B180="Program"),SUMPRODUCT(MAX(($C$6:$C$305=$A180)*($B$6:$B$305="Project")*($D$6:$D$305&lt;&gt;"Proposed")*$I$6:$I$305)),0)</f>
        <v/>
      </c>
      <c r="U180" s="30">
        <f>IF($I180&lt;&gt;"",$I180,IF($T180&gt;0,$T180,""))</f>
        <v/>
      </c>
      <c r="V180" s="28">
        <f>IF(AND($A180&lt;&gt;"",$B180="Program"),SUMIFS($J$6:$J$305,$C$6:$C$305,$A180,$B$6:$B$305,"Project",$D$6:$D$305,"&lt;&gt;Proposed"),0)</f>
        <v/>
      </c>
      <c r="W180" s="28">
        <f>IF(AND($A180&lt;&gt;"",$B180="Program"),COUNTIFS($C$6:$C$305,$A180,$B$6:$B$305,"Project",$D$6:$D$305,"&lt;&gt;Proposed")-COUNTIFS($C$6:$C$305,$A180,$B$6:$B$305,"Project",$D$6:$D$305,"&lt;&gt;Proposed",$J$6:$J$305,"&gt;=0"),0)</f>
        <v/>
      </c>
      <c r="X180" s="28">
        <f>IF(OR($Q180=0,$H180="",$AF180="Sprint"),0,IF(AND($B180="Project",$H180&lt;TODAY()),3,IF($U180="",0,IF($U180&lt;=$H180,1,IF(NETWORKDAYS($H180,$U180)-1&gt;IF($B180="Program",Checks!$B$7,Checks!$B$6),3,2)))))</f>
        <v/>
      </c>
      <c r="Y180" s="28">
        <f>IF(OR($Q180=0,$K180="",$K180=0,$AF180="Sprint"),0,IF(AND($B180="Project",$J180=""),0,IF(IF($B180="Program",$V180,$J180)&gt;$K180*(1+Checks!$B$8),3,IF(IF($B180="Program",$V180,$J180)&gt;$K180,2,IF(AND($B180="Program",OR($W180&gt;0,$V180=0)),0,1)))))</f>
        <v/>
      </c>
      <c r="Z180" s="28">
        <f>IF($A180="",0,IF($C180="Portfolio",1,IF(AND($B180="Project",$C180&lt;&gt;"",$C180&lt;&gt;"Outside the portfolio"),IFERROR(IF(AND(INDEX($B$6:$B$305,MATCH($C180,$A$6:$A$305,0))="Program",INDEX($C$6:$C$305,MATCH($C180,$A$6:$A$305,0))="Portfolio"),1,0),0),0)))</f>
        <v/>
      </c>
      <c r="AA180" s="28">
        <f>IF(AND($A180&lt;&gt;"",$E180="",OR($Q180=1,$D180="Proposed")),1,0)</f>
        <v/>
      </c>
      <c r="AB180" s="28">
        <f>IF(AND($A180&lt;&gt;"",$B180="Program",$F180="",$Q180=1),1,0)</f>
        <v/>
      </c>
      <c r="AC180" s="28">
        <f>IF(OR($A180="",$D180="Completed",$D180="Terminated"),0,IF($C180="",1,IF($C180="Portfolio",0,IF($C180="Outside the portfolio",IF($Q180=1,2,0),IF($B180="Project",IF(IFERROR(INDEX($B$6:$B$305,MATCH($C180,$A$6:$A$305,0)),"")="Program",0,1),1)))))</f>
        <v/>
      </c>
      <c r="AD180" s="28">
        <f>IF(AND($A180&lt;&gt;"",OR($M180="■ Red",$M180="◧ Amber"),$L180=""),1,0)</f>
        <v/>
      </c>
      <c r="AE180" s="28">
        <f>$AA180+$AB180+IF($AC180&gt;0,1,0)+$AD180+$AG180+$AH180</f>
        <v/>
      </c>
      <c r="AF180" s="25" t="n"/>
      <c r="AG180" s="28">
        <f>IF(AND($A180&lt;&gt;"",$K180&lt;&gt;"",$C180&lt;&gt;"Portfolio",$D180&lt;&gt;"Completed",$D180&lt;&gt;"Terminated"),1,0)</f>
        <v/>
      </c>
      <c r="AH180" s="28">
        <f>IF(AND($A180&lt;&gt;"",COUNTIF($A$6:$A$305,$A180)&gt;1),1,0)</f>
        <v/>
      </c>
      <c r="AI180" s="28">
        <f>IF(AND($A180&lt;&gt;"",$C180="Portfolio"),COUNTIFS($C$6:$C180,"Portfolio",$A$6:$A180,"&lt;&gt;"),"")</f>
        <v/>
      </c>
    </row>
    <row r="181">
      <c r="A181" s="25" t="n"/>
      <c r="B181" s="25" t="n"/>
      <c r="C181" s="25" t="n"/>
      <c r="D181" s="25" t="n"/>
      <c r="E181" s="25" t="n"/>
      <c r="F181" s="25" t="n"/>
      <c r="G181" s="25" t="n"/>
      <c r="H181" s="26" t="n"/>
      <c r="I181" s="26" t="n"/>
      <c r="J181" s="27" t="n"/>
      <c r="K181" s="27" t="n"/>
      <c r="L181" s="23" t="n"/>
      <c r="M181" s="28">
        <f>IF($A181="","",IF($D181="","Not read",IF($Q181=0,"Not counted",IF(MAX($X181,$Y181)=3,"■ Red",IF(MAX($X181,$Y181)=2,"◧ Amber",IF(MAX($X181,$Y181)=1,"□ On track","Not read"))))))</f>
        <v/>
      </c>
      <c r="N181" s="28">
        <f>IF(OR($A181="",$B181&lt;&gt;"Program"),"","■ "&amp;COUNTIFS($C$6:$C$305,$A181,$M$6:$M$305,"■ Red")&amp;" Red, ◧ "&amp;COUNTIFS($C$6:$C$305,$A181,$M$6:$M$305,"◧ Amber")&amp;" Amber")</f>
        <v/>
      </c>
      <c r="O181" s="29">
        <f>IF(OR($A181="",$E181=""),"",COUNTIFS($E$6:$E$305,$E181,$D$6:$D$305,"Active")+COUNTIFS($E$6:$E$305,$E181,$D$6:$D$305,"Paused"))</f>
        <v/>
      </c>
      <c r="P181" s="28">
        <f>IF($A181="","",IF($AE181=0,"○ Clear",IF($AA181=1,"△ No owner",IF($AC181=1,"△ Check Sits under",IF($AC181=2,"△ Outside the portfolio",IF($AB181=1,"△ No sponsor",IF($AH181=1,"△ Name used twice",IF($AG181=1,"△ Budget only counts under Portfolio","△ No variance note"))))))&amp;IF($AE181&gt;1," (+"&amp;($AE181-1)&amp;" more)","")))</f>
        <v/>
      </c>
      <c r="Q181" s="28">
        <f>IF(AND($A181&lt;&gt;"",OR($D181="Active",$D181="Paused")),1,0)</f>
        <v/>
      </c>
      <c r="R181" s="28">
        <f>IFERROR(INDEX($A$6:$A$305,MATCH(174,$S$6:$S$305,0)),"")</f>
        <v/>
      </c>
      <c r="S181" s="28">
        <f>IF(AND($A181&lt;&gt;"",$B181="Program"),COUNTIFS($B$6:$B181,"Program",$A$6:$A181,"&lt;&gt;"),"")</f>
        <v/>
      </c>
      <c r="T181" s="30">
        <f>IF(AND($A181&lt;&gt;"",$B181="Program"),SUMPRODUCT(MAX(($C$6:$C$305=$A181)*($B$6:$B$305="Project")*($D$6:$D$305&lt;&gt;"Proposed")*$I$6:$I$305)),0)</f>
        <v/>
      </c>
      <c r="U181" s="30">
        <f>IF($I181&lt;&gt;"",$I181,IF($T181&gt;0,$T181,""))</f>
        <v/>
      </c>
      <c r="V181" s="28">
        <f>IF(AND($A181&lt;&gt;"",$B181="Program"),SUMIFS($J$6:$J$305,$C$6:$C$305,$A181,$B$6:$B$305,"Project",$D$6:$D$305,"&lt;&gt;Proposed"),0)</f>
        <v/>
      </c>
      <c r="W181" s="28">
        <f>IF(AND($A181&lt;&gt;"",$B181="Program"),COUNTIFS($C$6:$C$305,$A181,$B$6:$B$305,"Project",$D$6:$D$305,"&lt;&gt;Proposed")-COUNTIFS($C$6:$C$305,$A181,$B$6:$B$305,"Project",$D$6:$D$305,"&lt;&gt;Proposed",$J$6:$J$305,"&gt;=0"),0)</f>
        <v/>
      </c>
      <c r="X181" s="28">
        <f>IF(OR($Q181=0,$H181="",$AF181="Sprint"),0,IF(AND($B181="Project",$H181&lt;TODAY()),3,IF($U181="",0,IF($U181&lt;=$H181,1,IF(NETWORKDAYS($H181,$U181)-1&gt;IF($B181="Program",Checks!$B$7,Checks!$B$6),3,2)))))</f>
        <v/>
      </c>
      <c r="Y181" s="28">
        <f>IF(OR($Q181=0,$K181="",$K181=0,$AF181="Sprint"),0,IF(AND($B181="Project",$J181=""),0,IF(IF($B181="Program",$V181,$J181)&gt;$K181*(1+Checks!$B$8),3,IF(IF($B181="Program",$V181,$J181)&gt;$K181,2,IF(AND($B181="Program",OR($W181&gt;0,$V181=0)),0,1)))))</f>
        <v/>
      </c>
      <c r="Z181" s="28">
        <f>IF($A181="",0,IF($C181="Portfolio",1,IF(AND($B181="Project",$C181&lt;&gt;"",$C181&lt;&gt;"Outside the portfolio"),IFERROR(IF(AND(INDEX($B$6:$B$305,MATCH($C181,$A$6:$A$305,0))="Program",INDEX($C$6:$C$305,MATCH($C181,$A$6:$A$305,0))="Portfolio"),1,0),0),0)))</f>
        <v/>
      </c>
      <c r="AA181" s="28">
        <f>IF(AND($A181&lt;&gt;"",$E181="",OR($Q181=1,$D181="Proposed")),1,0)</f>
        <v/>
      </c>
      <c r="AB181" s="28">
        <f>IF(AND($A181&lt;&gt;"",$B181="Program",$F181="",$Q181=1),1,0)</f>
        <v/>
      </c>
      <c r="AC181" s="28">
        <f>IF(OR($A181="",$D181="Completed",$D181="Terminated"),0,IF($C181="",1,IF($C181="Portfolio",0,IF($C181="Outside the portfolio",IF($Q181=1,2,0),IF($B181="Project",IF(IFERROR(INDEX($B$6:$B$305,MATCH($C181,$A$6:$A$305,0)),"")="Program",0,1),1)))))</f>
        <v/>
      </c>
      <c r="AD181" s="28">
        <f>IF(AND($A181&lt;&gt;"",OR($M181="■ Red",$M181="◧ Amber"),$L181=""),1,0)</f>
        <v/>
      </c>
      <c r="AE181" s="28">
        <f>$AA181+$AB181+IF($AC181&gt;0,1,0)+$AD181+$AG181+$AH181</f>
        <v/>
      </c>
      <c r="AF181" s="25" t="n"/>
      <c r="AG181" s="28">
        <f>IF(AND($A181&lt;&gt;"",$K181&lt;&gt;"",$C181&lt;&gt;"Portfolio",$D181&lt;&gt;"Completed",$D181&lt;&gt;"Terminated"),1,0)</f>
        <v/>
      </c>
      <c r="AH181" s="28">
        <f>IF(AND($A181&lt;&gt;"",COUNTIF($A$6:$A$305,$A181)&gt;1),1,0)</f>
        <v/>
      </c>
      <c r="AI181" s="28">
        <f>IF(AND($A181&lt;&gt;"",$C181="Portfolio"),COUNTIFS($C$6:$C181,"Portfolio",$A$6:$A181,"&lt;&gt;"),"")</f>
        <v/>
      </c>
    </row>
    <row r="182">
      <c r="A182" s="25" t="n"/>
      <c r="B182" s="25" t="n"/>
      <c r="C182" s="25" t="n"/>
      <c r="D182" s="25" t="n"/>
      <c r="E182" s="25" t="n"/>
      <c r="F182" s="25" t="n"/>
      <c r="G182" s="25" t="n"/>
      <c r="H182" s="26" t="n"/>
      <c r="I182" s="26" t="n"/>
      <c r="J182" s="27" t="n"/>
      <c r="K182" s="27" t="n"/>
      <c r="L182" s="23" t="n"/>
      <c r="M182" s="28">
        <f>IF($A182="","",IF($D182="","Not read",IF($Q182=0,"Not counted",IF(MAX($X182,$Y182)=3,"■ Red",IF(MAX($X182,$Y182)=2,"◧ Amber",IF(MAX($X182,$Y182)=1,"□ On track","Not read"))))))</f>
        <v/>
      </c>
      <c r="N182" s="28">
        <f>IF(OR($A182="",$B182&lt;&gt;"Program"),"","■ "&amp;COUNTIFS($C$6:$C$305,$A182,$M$6:$M$305,"■ Red")&amp;" Red, ◧ "&amp;COUNTIFS($C$6:$C$305,$A182,$M$6:$M$305,"◧ Amber")&amp;" Amber")</f>
        <v/>
      </c>
      <c r="O182" s="29">
        <f>IF(OR($A182="",$E182=""),"",COUNTIFS($E$6:$E$305,$E182,$D$6:$D$305,"Active")+COUNTIFS($E$6:$E$305,$E182,$D$6:$D$305,"Paused"))</f>
        <v/>
      </c>
      <c r="P182" s="28">
        <f>IF($A182="","",IF($AE182=0,"○ Clear",IF($AA182=1,"△ No owner",IF($AC182=1,"△ Check Sits under",IF($AC182=2,"△ Outside the portfolio",IF($AB182=1,"△ No sponsor",IF($AH182=1,"△ Name used twice",IF($AG182=1,"△ Budget only counts under Portfolio","△ No variance note"))))))&amp;IF($AE182&gt;1," (+"&amp;($AE182-1)&amp;" more)","")))</f>
        <v/>
      </c>
      <c r="Q182" s="28">
        <f>IF(AND($A182&lt;&gt;"",OR($D182="Active",$D182="Paused")),1,0)</f>
        <v/>
      </c>
      <c r="R182" s="28">
        <f>IFERROR(INDEX($A$6:$A$305,MATCH(175,$S$6:$S$305,0)),"")</f>
        <v/>
      </c>
      <c r="S182" s="28">
        <f>IF(AND($A182&lt;&gt;"",$B182="Program"),COUNTIFS($B$6:$B182,"Program",$A$6:$A182,"&lt;&gt;"),"")</f>
        <v/>
      </c>
      <c r="T182" s="30">
        <f>IF(AND($A182&lt;&gt;"",$B182="Program"),SUMPRODUCT(MAX(($C$6:$C$305=$A182)*($B$6:$B$305="Project")*($D$6:$D$305&lt;&gt;"Proposed")*$I$6:$I$305)),0)</f>
        <v/>
      </c>
      <c r="U182" s="30">
        <f>IF($I182&lt;&gt;"",$I182,IF($T182&gt;0,$T182,""))</f>
        <v/>
      </c>
      <c r="V182" s="28">
        <f>IF(AND($A182&lt;&gt;"",$B182="Program"),SUMIFS($J$6:$J$305,$C$6:$C$305,$A182,$B$6:$B$305,"Project",$D$6:$D$305,"&lt;&gt;Proposed"),0)</f>
        <v/>
      </c>
      <c r="W182" s="28">
        <f>IF(AND($A182&lt;&gt;"",$B182="Program"),COUNTIFS($C$6:$C$305,$A182,$B$6:$B$305,"Project",$D$6:$D$305,"&lt;&gt;Proposed")-COUNTIFS($C$6:$C$305,$A182,$B$6:$B$305,"Project",$D$6:$D$305,"&lt;&gt;Proposed",$J$6:$J$305,"&gt;=0"),0)</f>
        <v/>
      </c>
      <c r="X182" s="28">
        <f>IF(OR($Q182=0,$H182="",$AF182="Sprint"),0,IF(AND($B182="Project",$H182&lt;TODAY()),3,IF($U182="",0,IF($U182&lt;=$H182,1,IF(NETWORKDAYS($H182,$U182)-1&gt;IF($B182="Program",Checks!$B$7,Checks!$B$6),3,2)))))</f>
        <v/>
      </c>
      <c r="Y182" s="28">
        <f>IF(OR($Q182=0,$K182="",$K182=0,$AF182="Sprint"),0,IF(AND($B182="Project",$J182=""),0,IF(IF($B182="Program",$V182,$J182)&gt;$K182*(1+Checks!$B$8),3,IF(IF($B182="Program",$V182,$J182)&gt;$K182,2,IF(AND($B182="Program",OR($W182&gt;0,$V182=0)),0,1)))))</f>
        <v/>
      </c>
      <c r="Z182" s="28">
        <f>IF($A182="",0,IF($C182="Portfolio",1,IF(AND($B182="Project",$C182&lt;&gt;"",$C182&lt;&gt;"Outside the portfolio"),IFERROR(IF(AND(INDEX($B$6:$B$305,MATCH($C182,$A$6:$A$305,0))="Program",INDEX($C$6:$C$305,MATCH($C182,$A$6:$A$305,0))="Portfolio"),1,0),0),0)))</f>
        <v/>
      </c>
      <c r="AA182" s="28">
        <f>IF(AND($A182&lt;&gt;"",$E182="",OR($Q182=1,$D182="Proposed")),1,0)</f>
        <v/>
      </c>
      <c r="AB182" s="28">
        <f>IF(AND($A182&lt;&gt;"",$B182="Program",$F182="",$Q182=1),1,0)</f>
        <v/>
      </c>
      <c r="AC182" s="28">
        <f>IF(OR($A182="",$D182="Completed",$D182="Terminated"),0,IF($C182="",1,IF($C182="Portfolio",0,IF($C182="Outside the portfolio",IF($Q182=1,2,0),IF($B182="Project",IF(IFERROR(INDEX($B$6:$B$305,MATCH($C182,$A$6:$A$305,0)),"")="Program",0,1),1)))))</f>
        <v/>
      </c>
      <c r="AD182" s="28">
        <f>IF(AND($A182&lt;&gt;"",OR($M182="■ Red",$M182="◧ Amber"),$L182=""),1,0)</f>
        <v/>
      </c>
      <c r="AE182" s="28">
        <f>$AA182+$AB182+IF($AC182&gt;0,1,0)+$AD182+$AG182+$AH182</f>
        <v/>
      </c>
      <c r="AF182" s="25" t="n"/>
      <c r="AG182" s="28">
        <f>IF(AND($A182&lt;&gt;"",$K182&lt;&gt;"",$C182&lt;&gt;"Portfolio",$D182&lt;&gt;"Completed",$D182&lt;&gt;"Terminated"),1,0)</f>
        <v/>
      </c>
      <c r="AH182" s="28">
        <f>IF(AND($A182&lt;&gt;"",COUNTIF($A$6:$A$305,$A182)&gt;1),1,0)</f>
        <v/>
      </c>
      <c r="AI182" s="28">
        <f>IF(AND($A182&lt;&gt;"",$C182="Portfolio"),COUNTIFS($C$6:$C182,"Portfolio",$A$6:$A182,"&lt;&gt;"),"")</f>
        <v/>
      </c>
    </row>
    <row r="183">
      <c r="A183" s="25" t="n"/>
      <c r="B183" s="25" t="n"/>
      <c r="C183" s="25" t="n"/>
      <c r="D183" s="25" t="n"/>
      <c r="E183" s="25" t="n"/>
      <c r="F183" s="25" t="n"/>
      <c r="G183" s="25" t="n"/>
      <c r="H183" s="26" t="n"/>
      <c r="I183" s="26" t="n"/>
      <c r="J183" s="27" t="n"/>
      <c r="K183" s="27" t="n"/>
      <c r="L183" s="23" t="n"/>
      <c r="M183" s="28">
        <f>IF($A183="","",IF($D183="","Not read",IF($Q183=0,"Not counted",IF(MAX($X183,$Y183)=3,"■ Red",IF(MAX($X183,$Y183)=2,"◧ Amber",IF(MAX($X183,$Y183)=1,"□ On track","Not read"))))))</f>
        <v/>
      </c>
      <c r="N183" s="28">
        <f>IF(OR($A183="",$B183&lt;&gt;"Program"),"","■ "&amp;COUNTIFS($C$6:$C$305,$A183,$M$6:$M$305,"■ Red")&amp;" Red, ◧ "&amp;COUNTIFS($C$6:$C$305,$A183,$M$6:$M$305,"◧ Amber")&amp;" Amber")</f>
        <v/>
      </c>
      <c r="O183" s="29">
        <f>IF(OR($A183="",$E183=""),"",COUNTIFS($E$6:$E$305,$E183,$D$6:$D$305,"Active")+COUNTIFS($E$6:$E$305,$E183,$D$6:$D$305,"Paused"))</f>
        <v/>
      </c>
      <c r="P183" s="28">
        <f>IF($A183="","",IF($AE183=0,"○ Clear",IF($AA183=1,"△ No owner",IF($AC183=1,"△ Check Sits under",IF($AC183=2,"△ Outside the portfolio",IF($AB183=1,"△ No sponsor",IF($AH183=1,"△ Name used twice",IF($AG183=1,"△ Budget only counts under Portfolio","△ No variance note"))))))&amp;IF($AE183&gt;1," (+"&amp;($AE183-1)&amp;" more)","")))</f>
        <v/>
      </c>
      <c r="Q183" s="28">
        <f>IF(AND($A183&lt;&gt;"",OR($D183="Active",$D183="Paused")),1,0)</f>
        <v/>
      </c>
      <c r="R183" s="28">
        <f>IFERROR(INDEX($A$6:$A$305,MATCH(176,$S$6:$S$305,0)),"")</f>
        <v/>
      </c>
      <c r="S183" s="28">
        <f>IF(AND($A183&lt;&gt;"",$B183="Program"),COUNTIFS($B$6:$B183,"Program",$A$6:$A183,"&lt;&gt;"),"")</f>
        <v/>
      </c>
      <c r="T183" s="30">
        <f>IF(AND($A183&lt;&gt;"",$B183="Program"),SUMPRODUCT(MAX(($C$6:$C$305=$A183)*($B$6:$B$305="Project")*($D$6:$D$305&lt;&gt;"Proposed")*$I$6:$I$305)),0)</f>
        <v/>
      </c>
      <c r="U183" s="30">
        <f>IF($I183&lt;&gt;"",$I183,IF($T183&gt;0,$T183,""))</f>
        <v/>
      </c>
      <c r="V183" s="28">
        <f>IF(AND($A183&lt;&gt;"",$B183="Program"),SUMIFS($J$6:$J$305,$C$6:$C$305,$A183,$B$6:$B$305,"Project",$D$6:$D$305,"&lt;&gt;Proposed"),0)</f>
        <v/>
      </c>
      <c r="W183" s="28">
        <f>IF(AND($A183&lt;&gt;"",$B183="Program"),COUNTIFS($C$6:$C$305,$A183,$B$6:$B$305,"Project",$D$6:$D$305,"&lt;&gt;Proposed")-COUNTIFS($C$6:$C$305,$A183,$B$6:$B$305,"Project",$D$6:$D$305,"&lt;&gt;Proposed",$J$6:$J$305,"&gt;=0"),0)</f>
        <v/>
      </c>
      <c r="X183" s="28">
        <f>IF(OR($Q183=0,$H183="",$AF183="Sprint"),0,IF(AND($B183="Project",$H183&lt;TODAY()),3,IF($U183="",0,IF($U183&lt;=$H183,1,IF(NETWORKDAYS($H183,$U183)-1&gt;IF($B183="Program",Checks!$B$7,Checks!$B$6),3,2)))))</f>
        <v/>
      </c>
      <c r="Y183" s="28">
        <f>IF(OR($Q183=0,$K183="",$K183=0,$AF183="Sprint"),0,IF(AND($B183="Project",$J183=""),0,IF(IF($B183="Program",$V183,$J183)&gt;$K183*(1+Checks!$B$8),3,IF(IF($B183="Program",$V183,$J183)&gt;$K183,2,IF(AND($B183="Program",OR($W183&gt;0,$V183=0)),0,1)))))</f>
        <v/>
      </c>
      <c r="Z183" s="28">
        <f>IF($A183="",0,IF($C183="Portfolio",1,IF(AND($B183="Project",$C183&lt;&gt;"",$C183&lt;&gt;"Outside the portfolio"),IFERROR(IF(AND(INDEX($B$6:$B$305,MATCH($C183,$A$6:$A$305,0))="Program",INDEX($C$6:$C$305,MATCH($C183,$A$6:$A$305,0))="Portfolio"),1,0),0),0)))</f>
        <v/>
      </c>
      <c r="AA183" s="28">
        <f>IF(AND($A183&lt;&gt;"",$E183="",OR($Q183=1,$D183="Proposed")),1,0)</f>
        <v/>
      </c>
      <c r="AB183" s="28">
        <f>IF(AND($A183&lt;&gt;"",$B183="Program",$F183="",$Q183=1),1,0)</f>
        <v/>
      </c>
      <c r="AC183" s="28">
        <f>IF(OR($A183="",$D183="Completed",$D183="Terminated"),0,IF($C183="",1,IF($C183="Portfolio",0,IF($C183="Outside the portfolio",IF($Q183=1,2,0),IF($B183="Project",IF(IFERROR(INDEX($B$6:$B$305,MATCH($C183,$A$6:$A$305,0)),"")="Program",0,1),1)))))</f>
        <v/>
      </c>
      <c r="AD183" s="28">
        <f>IF(AND($A183&lt;&gt;"",OR($M183="■ Red",$M183="◧ Amber"),$L183=""),1,0)</f>
        <v/>
      </c>
      <c r="AE183" s="28">
        <f>$AA183+$AB183+IF($AC183&gt;0,1,0)+$AD183+$AG183+$AH183</f>
        <v/>
      </c>
      <c r="AF183" s="25" t="n"/>
      <c r="AG183" s="28">
        <f>IF(AND($A183&lt;&gt;"",$K183&lt;&gt;"",$C183&lt;&gt;"Portfolio",$D183&lt;&gt;"Completed",$D183&lt;&gt;"Terminated"),1,0)</f>
        <v/>
      </c>
      <c r="AH183" s="28">
        <f>IF(AND($A183&lt;&gt;"",COUNTIF($A$6:$A$305,$A183)&gt;1),1,0)</f>
        <v/>
      </c>
      <c r="AI183" s="28">
        <f>IF(AND($A183&lt;&gt;"",$C183="Portfolio"),COUNTIFS($C$6:$C183,"Portfolio",$A$6:$A183,"&lt;&gt;"),"")</f>
        <v/>
      </c>
    </row>
    <row r="184">
      <c r="A184" s="25" t="n"/>
      <c r="B184" s="25" t="n"/>
      <c r="C184" s="25" t="n"/>
      <c r="D184" s="25" t="n"/>
      <c r="E184" s="25" t="n"/>
      <c r="F184" s="25" t="n"/>
      <c r="G184" s="25" t="n"/>
      <c r="H184" s="26" t="n"/>
      <c r="I184" s="26" t="n"/>
      <c r="J184" s="27" t="n"/>
      <c r="K184" s="27" t="n"/>
      <c r="L184" s="23" t="n"/>
      <c r="M184" s="28">
        <f>IF($A184="","",IF($D184="","Not read",IF($Q184=0,"Not counted",IF(MAX($X184,$Y184)=3,"■ Red",IF(MAX($X184,$Y184)=2,"◧ Amber",IF(MAX($X184,$Y184)=1,"□ On track","Not read"))))))</f>
        <v/>
      </c>
      <c r="N184" s="28">
        <f>IF(OR($A184="",$B184&lt;&gt;"Program"),"","■ "&amp;COUNTIFS($C$6:$C$305,$A184,$M$6:$M$305,"■ Red")&amp;" Red, ◧ "&amp;COUNTIFS($C$6:$C$305,$A184,$M$6:$M$305,"◧ Amber")&amp;" Amber")</f>
        <v/>
      </c>
      <c r="O184" s="29">
        <f>IF(OR($A184="",$E184=""),"",COUNTIFS($E$6:$E$305,$E184,$D$6:$D$305,"Active")+COUNTIFS($E$6:$E$305,$E184,$D$6:$D$305,"Paused"))</f>
        <v/>
      </c>
      <c r="P184" s="28">
        <f>IF($A184="","",IF($AE184=0,"○ Clear",IF($AA184=1,"△ No owner",IF($AC184=1,"△ Check Sits under",IF($AC184=2,"△ Outside the portfolio",IF($AB184=1,"△ No sponsor",IF($AH184=1,"△ Name used twice",IF($AG184=1,"△ Budget only counts under Portfolio","△ No variance note"))))))&amp;IF($AE184&gt;1," (+"&amp;($AE184-1)&amp;" more)","")))</f>
        <v/>
      </c>
      <c r="Q184" s="28">
        <f>IF(AND($A184&lt;&gt;"",OR($D184="Active",$D184="Paused")),1,0)</f>
        <v/>
      </c>
      <c r="R184" s="28">
        <f>IFERROR(INDEX($A$6:$A$305,MATCH(177,$S$6:$S$305,0)),"")</f>
        <v/>
      </c>
      <c r="S184" s="28">
        <f>IF(AND($A184&lt;&gt;"",$B184="Program"),COUNTIFS($B$6:$B184,"Program",$A$6:$A184,"&lt;&gt;"),"")</f>
        <v/>
      </c>
      <c r="T184" s="30">
        <f>IF(AND($A184&lt;&gt;"",$B184="Program"),SUMPRODUCT(MAX(($C$6:$C$305=$A184)*($B$6:$B$305="Project")*($D$6:$D$305&lt;&gt;"Proposed")*$I$6:$I$305)),0)</f>
        <v/>
      </c>
      <c r="U184" s="30">
        <f>IF($I184&lt;&gt;"",$I184,IF($T184&gt;0,$T184,""))</f>
        <v/>
      </c>
      <c r="V184" s="28">
        <f>IF(AND($A184&lt;&gt;"",$B184="Program"),SUMIFS($J$6:$J$305,$C$6:$C$305,$A184,$B$6:$B$305,"Project",$D$6:$D$305,"&lt;&gt;Proposed"),0)</f>
        <v/>
      </c>
      <c r="W184" s="28">
        <f>IF(AND($A184&lt;&gt;"",$B184="Program"),COUNTIFS($C$6:$C$305,$A184,$B$6:$B$305,"Project",$D$6:$D$305,"&lt;&gt;Proposed")-COUNTIFS($C$6:$C$305,$A184,$B$6:$B$305,"Project",$D$6:$D$305,"&lt;&gt;Proposed",$J$6:$J$305,"&gt;=0"),0)</f>
        <v/>
      </c>
      <c r="X184" s="28">
        <f>IF(OR($Q184=0,$H184="",$AF184="Sprint"),0,IF(AND($B184="Project",$H184&lt;TODAY()),3,IF($U184="",0,IF($U184&lt;=$H184,1,IF(NETWORKDAYS($H184,$U184)-1&gt;IF($B184="Program",Checks!$B$7,Checks!$B$6),3,2)))))</f>
        <v/>
      </c>
      <c r="Y184" s="28">
        <f>IF(OR($Q184=0,$K184="",$K184=0,$AF184="Sprint"),0,IF(AND($B184="Project",$J184=""),0,IF(IF($B184="Program",$V184,$J184)&gt;$K184*(1+Checks!$B$8),3,IF(IF($B184="Program",$V184,$J184)&gt;$K184,2,IF(AND($B184="Program",OR($W184&gt;0,$V184=0)),0,1)))))</f>
        <v/>
      </c>
      <c r="Z184" s="28">
        <f>IF($A184="",0,IF($C184="Portfolio",1,IF(AND($B184="Project",$C184&lt;&gt;"",$C184&lt;&gt;"Outside the portfolio"),IFERROR(IF(AND(INDEX($B$6:$B$305,MATCH($C184,$A$6:$A$305,0))="Program",INDEX($C$6:$C$305,MATCH($C184,$A$6:$A$305,0))="Portfolio"),1,0),0),0)))</f>
        <v/>
      </c>
      <c r="AA184" s="28">
        <f>IF(AND($A184&lt;&gt;"",$E184="",OR($Q184=1,$D184="Proposed")),1,0)</f>
        <v/>
      </c>
      <c r="AB184" s="28">
        <f>IF(AND($A184&lt;&gt;"",$B184="Program",$F184="",$Q184=1),1,0)</f>
        <v/>
      </c>
      <c r="AC184" s="28">
        <f>IF(OR($A184="",$D184="Completed",$D184="Terminated"),0,IF($C184="",1,IF($C184="Portfolio",0,IF($C184="Outside the portfolio",IF($Q184=1,2,0),IF($B184="Project",IF(IFERROR(INDEX($B$6:$B$305,MATCH($C184,$A$6:$A$305,0)),"")="Program",0,1),1)))))</f>
        <v/>
      </c>
      <c r="AD184" s="28">
        <f>IF(AND($A184&lt;&gt;"",OR($M184="■ Red",$M184="◧ Amber"),$L184=""),1,0)</f>
        <v/>
      </c>
      <c r="AE184" s="28">
        <f>$AA184+$AB184+IF($AC184&gt;0,1,0)+$AD184+$AG184+$AH184</f>
        <v/>
      </c>
      <c r="AF184" s="25" t="n"/>
      <c r="AG184" s="28">
        <f>IF(AND($A184&lt;&gt;"",$K184&lt;&gt;"",$C184&lt;&gt;"Portfolio",$D184&lt;&gt;"Completed",$D184&lt;&gt;"Terminated"),1,0)</f>
        <v/>
      </c>
      <c r="AH184" s="28">
        <f>IF(AND($A184&lt;&gt;"",COUNTIF($A$6:$A$305,$A184)&gt;1),1,0)</f>
        <v/>
      </c>
      <c r="AI184" s="28">
        <f>IF(AND($A184&lt;&gt;"",$C184="Portfolio"),COUNTIFS($C$6:$C184,"Portfolio",$A$6:$A184,"&lt;&gt;"),"")</f>
        <v/>
      </c>
    </row>
    <row r="185">
      <c r="A185" s="25" t="n"/>
      <c r="B185" s="25" t="n"/>
      <c r="C185" s="25" t="n"/>
      <c r="D185" s="25" t="n"/>
      <c r="E185" s="25" t="n"/>
      <c r="F185" s="25" t="n"/>
      <c r="G185" s="25" t="n"/>
      <c r="H185" s="26" t="n"/>
      <c r="I185" s="26" t="n"/>
      <c r="J185" s="27" t="n"/>
      <c r="K185" s="27" t="n"/>
      <c r="L185" s="23" t="n"/>
      <c r="M185" s="28">
        <f>IF($A185="","",IF($D185="","Not read",IF($Q185=0,"Not counted",IF(MAX($X185,$Y185)=3,"■ Red",IF(MAX($X185,$Y185)=2,"◧ Amber",IF(MAX($X185,$Y185)=1,"□ On track","Not read"))))))</f>
        <v/>
      </c>
      <c r="N185" s="28">
        <f>IF(OR($A185="",$B185&lt;&gt;"Program"),"","■ "&amp;COUNTIFS($C$6:$C$305,$A185,$M$6:$M$305,"■ Red")&amp;" Red, ◧ "&amp;COUNTIFS($C$6:$C$305,$A185,$M$6:$M$305,"◧ Amber")&amp;" Amber")</f>
        <v/>
      </c>
      <c r="O185" s="29">
        <f>IF(OR($A185="",$E185=""),"",COUNTIFS($E$6:$E$305,$E185,$D$6:$D$305,"Active")+COUNTIFS($E$6:$E$305,$E185,$D$6:$D$305,"Paused"))</f>
        <v/>
      </c>
      <c r="P185" s="28">
        <f>IF($A185="","",IF($AE185=0,"○ Clear",IF($AA185=1,"△ No owner",IF($AC185=1,"△ Check Sits under",IF($AC185=2,"△ Outside the portfolio",IF($AB185=1,"△ No sponsor",IF($AH185=1,"△ Name used twice",IF($AG185=1,"△ Budget only counts under Portfolio","△ No variance note"))))))&amp;IF($AE185&gt;1," (+"&amp;($AE185-1)&amp;" more)","")))</f>
        <v/>
      </c>
      <c r="Q185" s="28">
        <f>IF(AND($A185&lt;&gt;"",OR($D185="Active",$D185="Paused")),1,0)</f>
        <v/>
      </c>
      <c r="R185" s="28">
        <f>IFERROR(INDEX($A$6:$A$305,MATCH(178,$S$6:$S$305,0)),"")</f>
        <v/>
      </c>
      <c r="S185" s="28">
        <f>IF(AND($A185&lt;&gt;"",$B185="Program"),COUNTIFS($B$6:$B185,"Program",$A$6:$A185,"&lt;&gt;"),"")</f>
        <v/>
      </c>
      <c r="T185" s="30">
        <f>IF(AND($A185&lt;&gt;"",$B185="Program"),SUMPRODUCT(MAX(($C$6:$C$305=$A185)*($B$6:$B$305="Project")*($D$6:$D$305&lt;&gt;"Proposed")*$I$6:$I$305)),0)</f>
        <v/>
      </c>
      <c r="U185" s="30">
        <f>IF($I185&lt;&gt;"",$I185,IF($T185&gt;0,$T185,""))</f>
        <v/>
      </c>
      <c r="V185" s="28">
        <f>IF(AND($A185&lt;&gt;"",$B185="Program"),SUMIFS($J$6:$J$305,$C$6:$C$305,$A185,$B$6:$B$305,"Project",$D$6:$D$305,"&lt;&gt;Proposed"),0)</f>
        <v/>
      </c>
      <c r="W185" s="28">
        <f>IF(AND($A185&lt;&gt;"",$B185="Program"),COUNTIFS($C$6:$C$305,$A185,$B$6:$B$305,"Project",$D$6:$D$305,"&lt;&gt;Proposed")-COUNTIFS($C$6:$C$305,$A185,$B$6:$B$305,"Project",$D$6:$D$305,"&lt;&gt;Proposed",$J$6:$J$305,"&gt;=0"),0)</f>
        <v/>
      </c>
      <c r="X185" s="28">
        <f>IF(OR($Q185=0,$H185="",$AF185="Sprint"),0,IF(AND($B185="Project",$H185&lt;TODAY()),3,IF($U185="",0,IF($U185&lt;=$H185,1,IF(NETWORKDAYS($H185,$U185)-1&gt;IF($B185="Program",Checks!$B$7,Checks!$B$6),3,2)))))</f>
        <v/>
      </c>
      <c r="Y185" s="28">
        <f>IF(OR($Q185=0,$K185="",$K185=0,$AF185="Sprint"),0,IF(AND($B185="Project",$J185=""),0,IF(IF($B185="Program",$V185,$J185)&gt;$K185*(1+Checks!$B$8),3,IF(IF($B185="Program",$V185,$J185)&gt;$K185,2,IF(AND($B185="Program",OR($W185&gt;0,$V185=0)),0,1)))))</f>
        <v/>
      </c>
      <c r="Z185" s="28">
        <f>IF($A185="",0,IF($C185="Portfolio",1,IF(AND($B185="Project",$C185&lt;&gt;"",$C185&lt;&gt;"Outside the portfolio"),IFERROR(IF(AND(INDEX($B$6:$B$305,MATCH($C185,$A$6:$A$305,0))="Program",INDEX($C$6:$C$305,MATCH($C185,$A$6:$A$305,0))="Portfolio"),1,0),0),0)))</f>
        <v/>
      </c>
      <c r="AA185" s="28">
        <f>IF(AND($A185&lt;&gt;"",$E185="",OR($Q185=1,$D185="Proposed")),1,0)</f>
        <v/>
      </c>
      <c r="AB185" s="28">
        <f>IF(AND($A185&lt;&gt;"",$B185="Program",$F185="",$Q185=1),1,0)</f>
        <v/>
      </c>
      <c r="AC185" s="28">
        <f>IF(OR($A185="",$D185="Completed",$D185="Terminated"),0,IF($C185="",1,IF($C185="Portfolio",0,IF($C185="Outside the portfolio",IF($Q185=1,2,0),IF($B185="Project",IF(IFERROR(INDEX($B$6:$B$305,MATCH($C185,$A$6:$A$305,0)),"")="Program",0,1),1)))))</f>
        <v/>
      </c>
      <c r="AD185" s="28">
        <f>IF(AND($A185&lt;&gt;"",OR($M185="■ Red",$M185="◧ Amber"),$L185=""),1,0)</f>
        <v/>
      </c>
      <c r="AE185" s="28">
        <f>$AA185+$AB185+IF($AC185&gt;0,1,0)+$AD185+$AG185+$AH185</f>
        <v/>
      </c>
      <c r="AF185" s="25" t="n"/>
      <c r="AG185" s="28">
        <f>IF(AND($A185&lt;&gt;"",$K185&lt;&gt;"",$C185&lt;&gt;"Portfolio",$D185&lt;&gt;"Completed",$D185&lt;&gt;"Terminated"),1,0)</f>
        <v/>
      </c>
      <c r="AH185" s="28">
        <f>IF(AND($A185&lt;&gt;"",COUNTIF($A$6:$A$305,$A185)&gt;1),1,0)</f>
        <v/>
      </c>
      <c r="AI185" s="28">
        <f>IF(AND($A185&lt;&gt;"",$C185="Portfolio"),COUNTIFS($C$6:$C185,"Portfolio",$A$6:$A185,"&lt;&gt;"),"")</f>
        <v/>
      </c>
    </row>
    <row r="186">
      <c r="A186" s="25" t="n"/>
      <c r="B186" s="25" t="n"/>
      <c r="C186" s="25" t="n"/>
      <c r="D186" s="25" t="n"/>
      <c r="E186" s="25" t="n"/>
      <c r="F186" s="25" t="n"/>
      <c r="G186" s="25" t="n"/>
      <c r="H186" s="26" t="n"/>
      <c r="I186" s="26" t="n"/>
      <c r="J186" s="27" t="n"/>
      <c r="K186" s="27" t="n"/>
      <c r="L186" s="23" t="n"/>
      <c r="M186" s="28">
        <f>IF($A186="","",IF($D186="","Not read",IF($Q186=0,"Not counted",IF(MAX($X186,$Y186)=3,"■ Red",IF(MAX($X186,$Y186)=2,"◧ Amber",IF(MAX($X186,$Y186)=1,"□ On track","Not read"))))))</f>
        <v/>
      </c>
      <c r="N186" s="28">
        <f>IF(OR($A186="",$B186&lt;&gt;"Program"),"","■ "&amp;COUNTIFS($C$6:$C$305,$A186,$M$6:$M$305,"■ Red")&amp;" Red, ◧ "&amp;COUNTIFS($C$6:$C$305,$A186,$M$6:$M$305,"◧ Amber")&amp;" Amber")</f>
        <v/>
      </c>
      <c r="O186" s="29">
        <f>IF(OR($A186="",$E186=""),"",COUNTIFS($E$6:$E$305,$E186,$D$6:$D$305,"Active")+COUNTIFS($E$6:$E$305,$E186,$D$6:$D$305,"Paused"))</f>
        <v/>
      </c>
      <c r="P186" s="28">
        <f>IF($A186="","",IF($AE186=0,"○ Clear",IF($AA186=1,"△ No owner",IF($AC186=1,"△ Check Sits under",IF($AC186=2,"△ Outside the portfolio",IF($AB186=1,"△ No sponsor",IF($AH186=1,"△ Name used twice",IF($AG186=1,"△ Budget only counts under Portfolio","△ No variance note"))))))&amp;IF($AE186&gt;1," (+"&amp;($AE186-1)&amp;" more)","")))</f>
        <v/>
      </c>
      <c r="Q186" s="28">
        <f>IF(AND($A186&lt;&gt;"",OR($D186="Active",$D186="Paused")),1,0)</f>
        <v/>
      </c>
      <c r="R186" s="28">
        <f>IFERROR(INDEX($A$6:$A$305,MATCH(179,$S$6:$S$305,0)),"")</f>
        <v/>
      </c>
      <c r="S186" s="28">
        <f>IF(AND($A186&lt;&gt;"",$B186="Program"),COUNTIFS($B$6:$B186,"Program",$A$6:$A186,"&lt;&gt;"),"")</f>
        <v/>
      </c>
      <c r="T186" s="30">
        <f>IF(AND($A186&lt;&gt;"",$B186="Program"),SUMPRODUCT(MAX(($C$6:$C$305=$A186)*($B$6:$B$305="Project")*($D$6:$D$305&lt;&gt;"Proposed")*$I$6:$I$305)),0)</f>
        <v/>
      </c>
      <c r="U186" s="30">
        <f>IF($I186&lt;&gt;"",$I186,IF($T186&gt;0,$T186,""))</f>
        <v/>
      </c>
      <c r="V186" s="28">
        <f>IF(AND($A186&lt;&gt;"",$B186="Program"),SUMIFS($J$6:$J$305,$C$6:$C$305,$A186,$B$6:$B$305,"Project",$D$6:$D$305,"&lt;&gt;Proposed"),0)</f>
        <v/>
      </c>
      <c r="W186" s="28">
        <f>IF(AND($A186&lt;&gt;"",$B186="Program"),COUNTIFS($C$6:$C$305,$A186,$B$6:$B$305,"Project",$D$6:$D$305,"&lt;&gt;Proposed")-COUNTIFS($C$6:$C$305,$A186,$B$6:$B$305,"Project",$D$6:$D$305,"&lt;&gt;Proposed",$J$6:$J$305,"&gt;=0"),0)</f>
        <v/>
      </c>
      <c r="X186" s="28">
        <f>IF(OR($Q186=0,$H186="",$AF186="Sprint"),0,IF(AND($B186="Project",$H186&lt;TODAY()),3,IF($U186="",0,IF($U186&lt;=$H186,1,IF(NETWORKDAYS($H186,$U186)-1&gt;IF($B186="Program",Checks!$B$7,Checks!$B$6),3,2)))))</f>
        <v/>
      </c>
      <c r="Y186" s="28">
        <f>IF(OR($Q186=0,$K186="",$K186=0,$AF186="Sprint"),0,IF(AND($B186="Project",$J186=""),0,IF(IF($B186="Program",$V186,$J186)&gt;$K186*(1+Checks!$B$8),3,IF(IF($B186="Program",$V186,$J186)&gt;$K186,2,IF(AND($B186="Program",OR($W186&gt;0,$V186=0)),0,1)))))</f>
        <v/>
      </c>
      <c r="Z186" s="28">
        <f>IF($A186="",0,IF($C186="Portfolio",1,IF(AND($B186="Project",$C186&lt;&gt;"",$C186&lt;&gt;"Outside the portfolio"),IFERROR(IF(AND(INDEX($B$6:$B$305,MATCH($C186,$A$6:$A$305,0))="Program",INDEX($C$6:$C$305,MATCH($C186,$A$6:$A$305,0))="Portfolio"),1,0),0),0)))</f>
        <v/>
      </c>
      <c r="AA186" s="28">
        <f>IF(AND($A186&lt;&gt;"",$E186="",OR($Q186=1,$D186="Proposed")),1,0)</f>
        <v/>
      </c>
      <c r="AB186" s="28">
        <f>IF(AND($A186&lt;&gt;"",$B186="Program",$F186="",$Q186=1),1,0)</f>
        <v/>
      </c>
      <c r="AC186" s="28">
        <f>IF(OR($A186="",$D186="Completed",$D186="Terminated"),0,IF($C186="",1,IF($C186="Portfolio",0,IF($C186="Outside the portfolio",IF($Q186=1,2,0),IF($B186="Project",IF(IFERROR(INDEX($B$6:$B$305,MATCH($C186,$A$6:$A$305,0)),"")="Program",0,1),1)))))</f>
        <v/>
      </c>
      <c r="AD186" s="28">
        <f>IF(AND($A186&lt;&gt;"",OR($M186="■ Red",$M186="◧ Amber"),$L186=""),1,0)</f>
        <v/>
      </c>
      <c r="AE186" s="28">
        <f>$AA186+$AB186+IF($AC186&gt;0,1,0)+$AD186+$AG186+$AH186</f>
        <v/>
      </c>
      <c r="AF186" s="25" t="n"/>
      <c r="AG186" s="28">
        <f>IF(AND($A186&lt;&gt;"",$K186&lt;&gt;"",$C186&lt;&gt;"Portfolio",$D186&lt;&gt;"Completed",$D186&lt;&gt;"Terminated"),1,0)</f>
        <v/>
      </c>
      <c r="AH186" s="28">
        <f>IF(AND($A186&lt;&gt;"",COUNTIF($A$6:$A$305,$A186)&gt;1),1,0)</f>
        <v/>
      </c>
      <c r="AI186" s="28">
        <f>IF(AND($A186&lt;&gt;"",$C186="Portfolio"),COUNTIFS($C$6:$C186,"Portfolio",$A$6:$A186,"&lt;&gt;"),"")</f>
        <v/>
      </c>
    </row>
    <row r="187">
      <c r="A187" s="25" t="n"/>
      <c r="B187" s="25" t="n"/>
      <c r="C187" s="25" t="n"/>
      <c r="D187" s="25" t="n"/>
      <c r="E187" s="25" t="n"/>
      <c r="F187" s="25" t="n"/>
      <c r="G187" s="25" t="n"/>
      <c r="H187" s="26" t="n"/>
      <c r="I187" s="26" t="n"/>
      <c r="J187" s="27" t="n"/>
      <c r="K187" s="27" t="n"/>
      <c r="L187" s="23" t="n"/>
      <c r="M187" s="28">
        <f>IF($A187="","",IF($D187="","Not read",IF($Q187=0,"Not counted",IF(MAX($X187,$Y187)=3,"■ Red",IF(MAX($X187,$Y187)=2,"◧ Amber",IF(MAX($X187,$Y187)=1,"□ On track","Not read"))))))</f>
        <v/>
      </c>
      <c r="N187" s="28">
        <f>IF(OR($A187="",$B187&lt;&gt;"Program"),"","■ "&amp;COUNTIFS($C$6:$C$305,$A187,$M$6:$M$305,"■ Red")&amp;" Red, ◧ "&amp;COUNTIFS($C$6:$C$305,$A187,$M$6:$M$305,"◧ Amber")&amp;" Amber")</f>
        <v/>
      </c>
      <c r="O187" s="29">
        <f>IF(OR($A187="",$E187=""),"",COUNTIFS($E$6:$E$305,$E187,$D$6:$D$305,"Active")+COUNTIFS($E$6:$E$305,$E187,$D$6:$D$305,"Paused"))</f>
        <v/>
      </c>
      <c r="P187" s="28">
        <f>IF($A187="","",IF($AE187=0,"○ Clear",IF($AA187=1,"△ No owner",IF($AC187=1,"△ Check Sits under",IF($AC187=2,"△ Outside the portfolio",IF($AB187=1,"△ No sponsor",IF($AH187=1,"△ Name used twice",IF($AG187=1,"△ Budget only counts under Portfolio","△ No variance note"))))))&amp;IF($AE187&gt;1," (+"&amp;($AE187-1)&amp;" more)","")))</f>
        <v/>
      </c>
      <c r="Q187" s="28">
        <f>IF(AND($A187&lt;&gt;"",OR($D187="Active",$D187="Paused")),1,0)</f>
        <v/>
      </c>
      <c r="R187" s="28">
        <f>IFERROR(INDEX($A$6:$A$305,MATCH(180,$S$6:$S$305,0)),"")</f>
        <v/>
      </c>
      <c r="S187" s="28">
        <f>IF(AND($A187&lt;&gt;"",$B187="Program"),COUNTIFS($B$6:$B187,"Program",$A$6:$A187,"&lt;&gt;"),"")</f>
        <v/>
      </c>
      <c r="T187" s="30">
        <f>IF(AND($A187&lt;&gt;"",$B187="Program"),SUMPRODUCT(MAX(($C$6:$C$305=$A187)*($B$6:$B$305="Project")*($D$6:$D$305&lt;&gt;"Proposed")*$I$6:$I$305)),0)</f>
        <v/>
      </c>
      <c r="U187" s="30">
        <f>IF($I187&lt;&gt;"",$I187,IF($T187&gt;0,$T187,""))</f>
        <v/>
      </c>
      <c r="V187" s="28">
        <f>IF(AND($A187&lt;&gt;"",$B187="Program"),SUMIFS($J$6:$J$305,$C$6:$C$305,$A187,$B$6:$B$305,"Project",$D$6:$D$305,"&lt;&gt;Proposed"),0)</f>
        <v/>
      </c>
      <c r="W187" s="28">
        <f>IF(AND($A187&lt;&gt;"",$B187="Program"),COUNTIFS($C$6:$C$305,$A187,$B$6:$B$305,"Project",$D$6:$D$305,"&lt;&gt;Proposed")-COUNTIFS($C$6:$C$305,$A187,$B$6:$B$305,"Project",$D$6:$D$305,"&lt;&gt;Proposed",$J$6:$J$305,"&gt;=0"),0)</f>
        <v/>
      </c>
      <c r="X187" s="28">
        <f>IF(OR($Q187=0,$H187="",$AF187="Sprint"),0,IF(AND($B187="Project",$H187&lt;TODAY()),3,IF($U187="",0,IF($U187&lt;=$H187,1,IF(NETWORKDAYS($H187,$U187)-1&gt;IF($B187="Program",Checks!$B$7,Checks!$B$6),3,2)))))</f>
        <v/>
      </c>
      <c r="Y187" s="28">
        <f>IF(OR($Q187=0,$K187="",$K187=0,$AF187="Sprint"),0,IF(AND($B187="Project",$J187=""),0,IF(IF($B187="Program",$V187,$J187)&gt;$K187*(1+Checks!$B$8),3,IF(IF($B187="Program",$V187,$J187)&gt;$K187,2,IF(AND($B187="Program",OR($W187&gt;0,$V187=0)),0,1)))))</f>
        <v/>
      </c>
      <c r="Z187" s="28">
        <f>IF($A187="",0,IF($C187="Portfolio",1,IF(AND($B187="Project",$C187&lt;&gt;"",$C187&lt;&gt;"Outside the portfolio"),IFERROR(IF(AND(INDEX($B$6:$B$305,MATCH($C187,$A$6:$A$305,0))="Program",INDEX($C$6:$C$305,MATCH($C187,$A$6:$A$305,0))="Portfolio"),1,0),0),0)))</f>
        <v/>
      </c>
      <c r="AA187" s="28">
        <f>IF(AND($A187&lt;&gt;"",$E187="",OR($Q187=1,$D187="Proposed")),1,0)</f>
        <v/>
      </c>
      <c r="AB187" s="28">
        <f>IF(AND($A187&lt;&gt;"",$B187="Program",$F187="",$Q187=1),1,0)</f>
        <v/>
      </c>
      <c r="AC187" s="28">
        <f>IF(OR($A187="",$D187="Completed",$D187="Terminated"),0,IF($C187="",1,IF($C187="Portfolio",0,IF($C187="Outside the portfolio",IF($Q187=1,2,0),IF($B187="Project",IF(IFERROR(INDEX($B$6:$B$305,MATCH($C187,$A$6:$A$305,0)),"")="Program",0,1),1)))))</f>
        <v/>
      </c>
      <c r="AD187" s="28">
        <f>IF(AND($A187&lt;&gt;"",OR($M187="■ Red",$M187="◧ Amber"),$L187=""),1,0)</f>
        <v/>
      </c>
      <c r="AE187" s="28">
        <f>$AA187+$AB187+IF($AC187&gt;0,1,0)+$AD187+$AG187+$AH187</f>
        <v/>
      </c>
      <c r="AF187" s="25" t="n"/>
      <c r="AG187" s="28">
        <f>IF(AND($A187&lt;&gt;"",$K187&lt;&gt;"",$C187&lt;&gt;"Portfolio",$D187&lt;&gt;"Completed",$D187&lt;&gt;"Terminated"),1,0)</f>
        <v/>
      </c>
      <c r="AH187" s="28">
        <f>IF(AND($A187&lt;&gt;"",COUNTIF($A$6:$A$305,$A187)&gt;1),1,0)</f>
        <v/>
      </c>
      <c r="AI187" s="28">
        <f>IF(AND($A187&lt;&gt;"",$C187="Portfolio"),COUNTIFS($C$6:$C187,"Portfolio",$A$6:$A187,"&lt;&gt;"),"")</f>
        <v/>
      </c>
    </row>
    <row r="188">
      <c r="A188" s="25" t="n"/>
      <c r="B188" s="25" t="n"/>
      <c r="C188" s="25" t="n"/>
      <c r="D188" s="25" t="n"/>
      <c r="E188" s="25" t="n"/>
      <c r="F188" s="25" t="n"/>
      <c r="G188" s="25" t="n"/>
      <c r="H188" s="26" t="n"/>
      <c r="I188" s="26" t="n"/>
      <c r="J188" s="27" t="n"/>
      <c r="K188" s="27" t="n"/>
      <c r="L188" s="23" t="n"/>
      <c r="M188" s="28">
        <f>IF($A188="","",IF($D188="","Not read",IF($Q188=0,"Not counted",IF(MAX($X188,$Y188)=3,"■ Red",IF(MAX($X188,$Y188)=2,"◧ Amber",IF(MAX($X188,$Y188)=1,"□ On track","Not read"))))))</f>
        <v/>
      </c>
      <c r="N188" s="28">
        <f>IF(OR($A188="",$B188&lt;&gt;"Program"),"","■ "&amp;COUNTIFS($C$6:$C$305,$A188,$M$6:$M$305,"■ Red")&amp;" Red, ◧ "&amp;COUNTIFS($C$6:$C$305,$A188,$M$6:$M$305,"◧ Amber")&amp;" Amber")</f>
        <v/>
      </c>
      <c r="O188" s="29">
        <f>IF(OR($A188="",$E188=""),"",COUNTIFS($E$6:$E$305,$E188,$D$6:$D$305,"Active")+COUNTIFS($E$6:$E$305,$E188,$D$6:$D$305,"Paused"))</f>
        <v/>
      </c>
      <c r="P188" s="28">
        <f>IF($A188="","",IF($AE188=0,"○ Clear",IF($AA188=1,"△ No owner",IF($AC188=1,"△ Check Sits under",IF($AC188=2,"△ Outside the portfolio",IF($AB188=1,"△ No sponsor",IF($AH188=1,"△ Name used twice",IF($AG188=1,"△ Budget only counts under Portfolio","△ No variance note"))))))&amp;IF($AE188&gt;1," (+"&amp;($AE188-1)&amp;" more)","")))</f>
        <v/>
      </c>
      <c r="Q188" s="28">
        <f>IF(AND($A188&lt;&gt;"",OR($D188="Active",$D188="Paused")),1,0)</f>
        <v/>
      </c>
      <c r="R188" s="28">
        <f>IFERROR(INDEX($A$6:$A$305,MATCH(181,$S$6:$S$305,0)),"")</f>
        <v/>
      </c>
      <c r="S188" s="28">
        <f>IF(AND($A188&lt;&gt;"",$B188="Program"),COUNTIFS($B$6:$B188,"Program",$A$6:$A188,"&lt;&gt;"),"")</f>
        <v/>
      </c>
      <c r="T188" s="30">
        <f>IF(AND($A188&lt;&gt;"",$B188="Program"),SUMPRODUCT(MAX(($C$6:$C$305=$A188)*($B$6:$B$305="Project")*($D$6:$D$305&lt;&gt;"Proposed")*$I$6:$I$305)),0)</f>
        <v/>
      </c>
      <c r="U188" s="30">
        <f>IF($I188&lt;&gt;"",$I188,IF($T188&gt;0,$T188,""))</f>
        <v/>
      </c>
      <c r="V188" s="28">
        <f>IF(AND($A188&lt;&gt;"",$B188="Program"),SUMIFS($J$6:$J$305,$C$6:$C$305,$A188,$B$6:$B$305,"Project",$D$6:$D$305,"&lt;&gt;Proposed"),0)</f>
        <v/>
      </c>
      <c r="W188" s="28">
        <f>IF(AND($A188&lt;&gt;"",$B188="Program"),COUNTIFS($C$6:$C$305,$A188,$B$6:$B$305,"Project",$D$6:$D$305,"&lt;&gt;Proposed")-COUNTIFS($C$6:$C$305,$A188,$B$6:$B$305,"Project",$D$6:$D$305,"&lt;&gt;Proposed",$J$6:$J$305,"&gt;=0"),0)</f>
        <v/>
      </c>
      <c r="X188" s="28">
        <f>IF(OR($Q188=0,$H188="",$AF188="Sprint"),0,IF(AND($B188="Project",$H188&lt;TODAY()),3,IF($U188="",0,IF($U188&lt;=$H188,1,IF(NETWORKDAYS($H188,$U188)-1&gt;IF($B188="Program",Checks!$B$7,Checks!$B$6),3,2)))))</f>
        <v/>
      </c>
      <c r="Y188" s="28">
        <f>IF(OR($Q188=0,$K188="",$K188=0,$AF188="Sprint"),0,IF(AND($B188="Project",$J188=""),0,IF(IF($B188="Program",$V188,$J188)&gt;$K188*(1+Checks!$B$8),3,IF(IF($B188="Program",$V188,$J188)&gt;$K188,2,IF(AND($B188="Program",OR($W188&gt;0,$V188=0)),0,1)))))</f>
        <v/>
      </c>
      <c r="Z188" s="28">
        <f>IF($A188="",0,IF($C188="Portfolio",1,IF(AND($B188="Project",$C188&lt;&gt;"",$C188&lt;&gt;"Outside the portfolio"),IFERROR(IF(AND(INDEX($B$6:$B$305,MATCH($C188,$A$6:$A$305,0))="Program",INDEX($C$6:$C$305,MATCH($C188,$A$6:$A$305,0))="Portfolio"),1,0),0),0)))</f>
        <v/>
      </c>
      <c r="AA188" s="28">
        <f>IF(AND($A188&lt;&gt;"",$E188="",OR($Q188=1,$D188="Proposed")),1,0)</f>
        <v/>
      </c>
      <c r="AB188" s="28">
        <f>IF(AND($A188&lt;&gt;"",$B188="Program",$F188="",$Q188=1),1,0)</f>
        <v/>
      </c>
      <c r="AC188" s="28">
        <f>IF(OR($A188="",$D188="Completed",$D188="Terminated"),0,IF($C188="",1,IF($C188="Portfolio",0,IF($C188="Outside the portfolio",IF($Q188=1,2,0),IF($B188="Project",IF(IFERROR(INDEX($B$6:$B$305,MATCH($C188,$A$6:$A$305,0)),"")="Program",0,1),1)))))</f>
        <v/>
      </c>
      <c r="AD188" s="28">
        <f>IF(AND($A188&lt;&gt;"",OR($M188="■ Red",$M188="◧ Amber"),$L188=""),1,0)</f>
        <v/>
      </c>
      <c r="AE188" s="28">
        <f>$AA188+$AB188+IF($AC188&gt;0,1,0)+$AD188+$AG188+$AH188</f>
        <v/>
      </c>
      <c r="AF188" s="25" t="n"/>
      <c r="AG188" s="28">
        <f>IF(AND($A188&lt;&gt;"",$K188&lt;&gt;"",$C188&lt;&gt;"Portfolio",$D188&lt;&gt;"Completed",$D188&lt;&gt;"Terminated"),1,0)</f>
        <v/>
      </c>
      <c r="AH188" s="28">
        <f>IF(AND($A188&lt;&gt;"",COUNTIF($A$6:$A$305,$A188)&gt;1),1,0)</f>
        <v/>
      </c>
      <c r="AI188" s="28">
        <f>IF(AND($A188&lt;&gt;"",$C188="Portfolio"),COUNTIFS($C$6:$C188,"Portfolio",$A$6:$A188,"&lt;&gt;"),"")</f>
        <v/>
      </c>
    </row>
    <row r="189">
      <c r="A189" s="25" t="n"/>
      <c r="B189" s="25" t="n"/>
      <c r="C189" s="25" t="n"/>
      <c r="D189" s="25" t="n"/>
      <c r="E189" s="25" t="n"/>
      <c r="F189" s="25" t="n"/>
      <c r="G189" s="25" t="n"/>
      <c r="H189" s="26" t="n"/>
      <c r="I189" s="26" t="n"/>
      <c r="J189" s="27" t="n"/>
      <c r="K189" s="27" t="n"/>
      <c r="L189" s="23" t="n"/>
      <c r="M189" s="28">
        <f>IF($A189="","",IF($D189="","Not read",IF($Q189=0,"Not counted",IF(MAX($X189,$Y189)=3,"■ Red",IF(MAX($X189,$Y189)=2,"◧ Amber",IF(MAX($X189,$Y189)=1,"□ On track","Not read"))))))</f>
        <v/>
      </c>
      <c r="N189" s="28">
        <f>IF(OR($A189="",$B189&lt;&gt;"Program"),"","■ "&amp;COUNTIFS($C$6:$C$305,$A189,$M$6:$M$305,"■ Red")&amp;" Red, ◧ "&amp;COUNTIFS($C$6:$C$305,$A189,$M$6:$M$305,"◧ Amber")&amp;" Amber")</f>
        <v/>
      </c>
      <c r="O189" s="29">
        <f>IF(OR($A189="",$E189=""),"",COUNTIFS($E$6:$E$305,$E189,$D$6:$D$305,"Active")+COUNTIFS($E$6:$E$305,$E189,$D$6:$D$305,"Paused"))</f>
        <v/>
      </c>
      <c r="P189" s="28">
        <f>IF($A189="","",IF($AE189=0,"○ Clear",IF($AA189=1,"△ No owner",IF($AC189=1,"△ Check Sits under",IF($AC189=2,"△ Outside the portfolio",IF($AB189=1,"△ No sponsor",IF($AH189=1,"△ Name used twice",IF($AG189=1,"△ Budget only counts under Portfolio","△ No variance note"))))))&amp;IF($AE189&gt;1," (+"&amp;($AE189-1)&amp;" more)","")))</f>
        <v/>
      </c>
      <c r="Q189" s="28">
        <f>IF(AND($A189&lt;&gt;"",OR($D189="Active",$D189="Paused")),1,0)</f>
        <v/>
      </c>
      <c r="R189" s="28">
        <f>IFERROR(INDEX($A$6:$A$305,MATCH(182,$S$6:$S$305,0)),"")</f>
        <v/>
      </c>
      <c r="S189" s="28">
        <f>IF(AND($A189&lt;&gt;"",$B189="Program"),COUNTIFS($B$6:$B189,"Program",$A$6:$A189,"&lt;&gt;"),"")</f>
        <v/>
      </c>
      <c r="T189" s="30">
        <f>IF(AND($A189&lt;&gt;"",$B189="Program"),SUMPRODUCT(MAX(($C$6:$C$305=$A189)*($B$6:$B$305="Project")*($D$6:$D$305&lt;&gt;"Proposed")*$I$6:$I$305)),0)</f>
        <v/>
      </c>
      <c r="U189" s="30">
        <f>IF($I189&lt;&gt;"",$I189,IF($T189&gt;0,$T189,""))</f>
        <v/>
      </c>
      <c r="V189" s="28">
        <f>IF(AND($A189&lt;&gt;"",$B189="Program"),SUMIFS($J$6:$J$305,$C$6:$C$305,$A189,$B$6:$B$305,"Project",$D$6:$D$305,"&lt;&gt;Proposed"),0)</f>
        <v/>
      </c>
      <c r="W189" s="28">
        <f>IF(AND($A189&lt;&gt;"",$B189="Program"),COUNTIFS($C$6:$C$305,$A189,$B$6:$B$305,"Project",$D$6:$D$305,"&lt;&gt;Proposed")-COUNTIFS($C$6:$C$305,$A189,$B$6:$B$305,"Project",$D$6:$D$305,"&lt;&gt;Proposed",$J$6:$J$305,"&gt;=0"),0)</f>
        <v/>
      </c>
      <c r="X189" s="28">
        <f>IF(OR($Q189=0,$H189="",$AF189="Sprint"),0,IF(AND($B189="Project",$H189&lt;TODAY()),3,IF($U189="",0,IF($U189&lt;=$H189,1,IF(NETWORKDAYS($H189,$U189)-1&gt;IF($B189="Program",Checks!$B$7,Checks!$B$6),3,2)))))</f>
        <v/>
      </c>
      <c r="Y189" s="28">
        <f>IF(OR($Q189=0,$K189="",$K189=0,$AF189="Sprint"),0,IF(AND($B189="Project",$J189=""),0,IF(IF($B189="Program",$V189,$J189)&gt;$K189*(1+Checks!$B$8),3,IF(IF($B189="Program",$V189,$J189)&gt;$K189,2,IF(AND($B189="Program",OR($W189&gt;0,$V189=0)),0,1)))))</f>
        <v/>
      </c>
      <c r="Z189" s="28">
        <f>IF($A189="",0,IF($C189="Portfolio",1,IF(AND($B189="Project",$C189&lt;&gt;"",$C189&lt;&gt;"Outside the portfolio"),IFERROR(IF(AND(INDEX($B$6:$B$305,MATCH($C189,$A$6:$A$305,0))="Program",INDEX($C$6:$C$305,MATCH($C189,$A$6:$A$305,0))="Portfolio"),1,0),0),0)))</f>
        <v/>
      </c>
      <c r="AA189" s="28">
        <f>IF(AND($A189&lt;&gt;"",$E189="",OR($Q189=1,$D189="Proposed")),1,0)</f>
        <v/>
      </c>
      <c r="AB189" s="28">
        <f>IF(AND($A189&lt;&gt;"",$B189="Program",$F189="",$Q189=1),1,0)</f>
        <v/>
      </c>
      <c r="AC189" s="28">
        <f>IF(OR($A189="",$D189="Completed",$D189="Terminated"),0,IF($C189="",1,IF($C189="Portfolio",0,IF($C189="Outside the portfolio",IF($Q189=1,2,0),IF($B189="Project",IF(IFERROR(INDEX($B$6:$B$305,MATCH($C189,$A$6:$A$305,0)),"")="Program",0,1),1)))))</f>
        <v/>
      </c>
      <c r="AD189" s="28">
        <f>IF(AND($A189&lt;&gt;"",OR($M189="■ Red",$M189="◧ Amber"),$L189=""),1,0)</f>
        <v/>
      </c>
      <c r="AE189" s="28">
        <f>$AA189+$AB189+IF($AC189&gt;0,1,0)+$AD189+$AG189+$AH189</f>
        <v/>
      </c>
      <c r="AF189" s="25" t="n"/>
      <c r="AG189" s="28">
        <f>IF(AND($A189&lt;&gt;"",$K189&lt;&gt;"",$C189&lt;&gt;"Portfolio",$D189&lt;&gt;"Completed",$D189&lt;&gt;"Terminated"),1,0)</f>
        <v/>
      </c>
      <c r="AH189" s="28">
        <f>IF(AND($A189&lt;&gt;"",COUNTIF($A$6:$A$305,$A189)&gt;1),1,0)</f>
        <v/>
      </c>
      <c r="AI189" s="28">
        <f>IF(AND($A189&lt;&gt;"",$C189="Portfolio"),COUNTIFS($C$6:$C189,"Portfolio",$A$6:$A189,"&lt;&gt;"),"")</f>
        <v/>
      </c>
    </row>
    <row r="190">
      <c r="A190" s="25" t="n"/>
      <c r="B190" s="25" t="n"/>
      <c r="C190" s="25" t="n"/>
      <c r="D190" s="25" t="n"/>
      <c r="E190" s="25" t="n"/>
      <c r="F190" s="25" t="n"/>
      <c r="G190" s="25" t="n"/>
      <c r="H190" s="26" t="n"/>
      <c r="I190" s="26" t="n"/>
      <c r="J190" s="27" t="n"/>
      <c r="K190" s="27" t="n"/>
      <c r="L190" s="23" t="n"/>
      <c r="M190" s="28">
        <f>IF($A190="","",IF($D190="","Not read",IF($Q190=0,"Not counted",IF(MAX($X190,$Y190)=3,"■ Red",IF(MAX($X190,$Y190)=2,"◧ Amber",IF(MAX($X190,$Y190)=1,"□ On track","Not read"))))))</f>
        <v/>
      </c>
      <c r="N190" s="28">
        <f>IF(OR($A190="",$B190&lt;&gt;"Program"),"","■ "&amp;COUNTIFS($C$6:$C$305,$A190,$M$6:$M$305,"■ Red")&amp;" Red, ◧ "&amp;COUNTIFS($C$6:$C$305,$A190,$M$6:$M$305,"◧ Amber")&amp;" Amber")</f>
        <v/>
      </c>
      <c r="O190" s="29">
        <f>IF(OR($A190="",$E190=""),"",COUNTIFS($E$6:$E$305,$E190,$D$6:$D$305,"Active")+COUNTIFS($E$6:$E$305,$E190,$D$6:$D$305,"Paused"))</f>
        <v/>
      </c>
      <c r="P190" s="28">
        <f>IF($A190="","",IF($AE190=0,"○ Clear",IF($AA190=1,"△ No owner",IF($AC190=1,"△ Check Sits under",IF($AC190=2,"△ Outside the portfolio",IF($AB190=1,"△ No sponsor",IF($AH190=1,"△ Name used twice",IF($AG190=1,"△ Budget only counts under Portfolio","△ No variance note"))))))&amp;IF($AE190&gt;1," (+"&amp;($AE190-1)&amp;" more)","")))</f>
        <v/>
      </c>
      <c r="Q190" s="28">
        <f>IF(AND($A190&lt;&gt;"",OR($D190="Active",$D190="Paused")),1,0)</f>
        <v/>
      </c>
      <c r="R190" s="28">
        <f>IFERROR(INDEX($A$6:$A$305,MATCH(183,$S$6:$S$305,0)),"")</f>
        <v/>
      </c>
      <c r="S190" s="28">
        <f>IF(AND($A190&lt;&gt;"",$B190="Program"),COUNTIFS($B$6:$B190,"Program",$A$6:$A190,"&lt;&gt;"),"")</f>
        <v/>
      </c>
      <c r="T190" s="30">
        <f>IF(AND($A190&lt;&gt;"",$B190="Program"),SUMPRODUCT(MAX(($C$6:$C$305=$A190)*($B$6:$B$305="Project")*($D$6:$D$305&lt;&gt;"Proposed")*$I$6:$I$305)),0)</f>
        <v/>
      </c>
      <c r="U190" s="30">
        <f>IF($I190&lt;&gt;"",$I190,IF($T190&gt;0,$T190,""))</f>
        <v/>
      </c>
      <c r="V190" s="28">
        <f>IF(AND($A190&lt;&gt;"",$B190="Program"),SUMIFS($J$6:$J$305,$C$6:$C$305,$A190,$B$6:$B$305,"Project",$D$6:$D$305,"&lt;&gt;Proposed"),0)</f>
        <v/>
      </c>
      <c r="W190" s="28">
        <f>IF(AND($A190&lt;&gt;"",$B190="Program"),COUNTIFS($C$6:$C$305,$A190,$B$6:$B$305,"Project",$D$6:$D$305,"&lt;&gt;Proposed")-COUNTIFS($C$6:$C$305,$A190,$B$6:$B$305,"Project",$D$6:$D$305,"&lt;&gt;Proposed",$J$6:$J$305,"&gt;=0"),0)</f>
        <v/>
      </c>
      <c r="X190" s="28">
        <f>IF(OR($Q190=0,$H190="",$AF190="Sprint"),0,IF(AND($B190="Project",$H190&lt;TODAY()),3,IF($U190="",0,IF($U190&lt;=$H190,1,IF(NETWORKDAYS($H190,$U190)-1&gt;IF($B190="Program",Checks!$B$7,Checks!$B$6),3,2)))))</f>
        <v/>
      </c>
      <c r="Y190" s="28">
        <f>IF(OR($Q190=0,$K190="",$K190=0,$AF190="Sprint"),0,IF(AND($B190="Project",$J190=""),0,IF(IF($B190="Program",$V190,$J190)&gt;$K190*(1+Checks!$B$8),3,IF(IF($B190="Program",$V190,$J190)&gt;$K190,2,IF(AND($B190="Program",OR($W190&gt;0,$V190=0)),0,1)))))</f>
        <v/>
      </c>
      <c r="Z190" s="28">
        <f>IF($A190="",0,IF($C190="Portfolio",1,IF(AND($B190="Project",$C190&lt;&gt;"",$C190&lt;&gt;"Outside the portfolio"),IFERROR(IF(AND(INDEX($B$6:$B$305,MATCH($C190,$A$6:$A$305,0))="Program",INDEX($C$6:$C$305,MATCH($C190,$A$6:$A$305,0))="Portfolio"),1,0),0),0)))</f>
        <v/>
      </c>
      <c r="AA190" s="28">
        <f>IF(AND($A190&lt;&gt;"",$E190="",OR($Q190=1,$D190="Proposed")),1,0)</f>
        <v/>
      </c>
      <c r="AB190" s="28">
        <f>IF(AND($A190&lt;&gt;"",$B190="Program",$F190="",$Q190=1),1,0)</f>
        <v/>
      </c>
      <c r="AC190" s="28">
        <f>IF(OR($A190="",$D190="Completed",$D190="Terminated"),0,IF($C190="",1,IF($C190="Portfolio",0,IF($C190="Outside the portfolio",IF($Q190=1,2,0),IF($B190="Project",IF(IFERROR(INDEX($B$6:$B$305,MATCH($C190,$A$6:$A$305,0)),"")="Program",0,1),1)))))</f>
        <v/>
      </c>
      <c r="AD190" s="28">
        <f>IF(AND($A190&lt;&gt;"",OR($M190="■ Red",$M190="◧ Amber"),$L190=""),1,0)</f>
        <v/>
      </c>
      <c r="AE190" s="28">
        <f>$AA190+$AB190+IF($AC190&gt;0,1,0)+$AD190+$AG190+$AH190</f>
        <v/>
      </c>
      <c r="AF190" s="25" t="n"/>
      <c r="AG190" s="28">
        <f>IF(AND($A190&lt;&gt;"",$K190&lt;&gt;"",$C190&lt;&gt;"Portfolio",$D190&lt;&gt;"Completed",$D190&lt;&gt;"Terminated"),1,0)</f>
        <v/>
      </c>
      <c r="AH190" s="28">
        <f>IF(AND($A190&lt;&gt;"",COUNTIF($A$6:$A$305,$A190)&gt;1),1,0)</f>
        <v/>
      </c>
      <c r="AI190" s="28">
        <f>IF(AND($A190&lt;&gt;"",$C190="Portfolio"),COUNTIFS($C$6:$C190,"Portfolio",$A$6:$A190,"&lt;&gt;"),"")</f>
        <v/>
      </c>
    </row>
    <row r="191">
      <c r="A191" s="25" t="n"/>
      <c r="B191" s="25" t="n"/>
      <c r="C191" s="25" t="n"/>
      <c r="D191" s="25" t="n"/>
      <c r="E191" s="25" t="n"/>
      <c r="F191" s="25" t="n"/>
      <c r="G191" s="25" t="n"/>
      <c r="H191" s="26" t="n"/>
      <c r="I191" s="26" t="n"/>
      <c r="J191" s="27" t="n"/>
      <c r="K191" s="27" t="n"/>
      <c r="L191" s="23" t="n"/>
      <c r="M191" s="28">
        <f>IF($A191="","",IF($D191="","Not read",IF($Q191=0,"Not counted",IF(MAX($X191,$Y191)=3,"■ Red",IF(MAX($X191,$Y191)=2,"◧ Amber",IF(MAX($X191,$Y191)=1,"□ On track","Not read"))))))</f>
        <v/>
      </c>
      <c r="N191" s="28">
        <f>IF(OR($A191="",$B191&lt;&gt;"Program"),"","■ "&amp;COUNTIFS($C$6:$C$305,$A191,$M$6:$M$305,"■ Red")&amp;" Red, ◧ "&amp;COUNTIFS($C$6:$C$305,$A191,$M$6:$M$305,"◧ Amber")&amp;" Amber")</f>
        <v/>
      </c>
      <c r="O191" s="29">
        <f>IF(OR($A191="",$E191=""),"",COUNTIFS($E$6:$E$305,$E191,$D$6:$D$305,"Active")+COUNTIFS($E$6:$E$305,$E191,$D$6:$D$305,"Paused"))</f>
        <v/>
      </c>
      <c r="P191" s="28">
        <f>IF($A191="","",IF($AE191=0,"○ Clear",IF($AA191=1,"△ No owner",IF($AC191=1,"△ Check Sits under",IF($AC191=2,"△ Outside the portfolio",IF($AB191=1,"△ No sponsor",IF($AH191=1,"△ Name used twice",IF($AG191=1,"△ Budget only counts under Portfolio","△ No variance note"))))))&amp;IF($AE191&gt;1," (+"&amp;($AE191-1)&amp;" more)","")))</f>
        <v/>
      </c>
      <c r="Q191" s="28">
        <f>IF(AND($A191&lt;&gt;"",OR($D191="Active",$D191="Paused")),1,0)</f>
        <v/>
      </c>
      <c r="R191" s="28">
        <f>IFERROR(INDEX($A$6:$A$305,MATCH(184,$S$6:$S$305,0)),"")</f>
        <v/>
      </c>
      <c r="S191" s="28">
        <f>IF(AND($A191&lt;&gt;"",$B191="Program"),COUNTIFS($B$6:$B191,"Program",$A$6:$A191,"&lt;&gt;"),"")</f>
        <v/>
      </c>
      <c r="T191" s="30">
        <f>IF(AND($A191&lt;&gt;"",$B191="Program"),SUMPRODUCT(MAX(($C$6:$C$305=$A191)*($B$6:$B$305="Project")*($D$6:$D$305&lt;&gt;"Proposed")*$I$6:$I$305)),0)</f>
        <v/>
      </c>
      <c r="U191" s="30">
        <f>IF($I191&lt;&gt;"",$I191,IF($T191&gt;0,$T191,""))</f>
        <v/>
      </c>
      <c r="V191" s="28">
        <f>IF(AND($A191&lt;&gt;"",$B191="Program"),SUMIFS($J$6:$J$305,$C$6:$C$305,$A191,$B$6:$B$305,"Project",$D$6:$D$305,"&lt;&gt;Proposed"),0)</f>
        <v/>
      </c>
      <c r="W191" s="28">
        <f>IF(AND($A191&lt;&gt;"",$B191="Program"),COUNTIFS($C$6:$C$305,$A191,$B$6:$B$305,"Project",$D$6:$D$305,"&lt;&gt;Proposed")-COUNTIFS($C$6:$C$305,$A191,$B$6:$B$305,"Project",$D$6:$D$305,"&lt;&gt;Proposed",$J$6:$J$305,"&gt;=0"),0)</f>
        <v/>
      </c>
      <c r="X191" s="28">
        <f>IF(OR($Q191=0,$H191="",$AF191="Sprint"),0,IF(AND($B191="Project",$H191&lt;TODAY()),3,IF($U191="",0,IF($U191&lt;=$H191,1,IF(NETWORKDAYS($H191,$U191)-1&gt;IF($B191="Program",Checks!$B$7,Checks!$B$6),3,2)))))</f>
        <v/>
      </c>
      <c r="Y191" s="28">
        <f>IF(OR($Q191=0,$K191="",$K191=0,$AF191="Sprint"),0,IF(AND($B191="Project",$J191=""),0,IF(IF($B191="Program",$V191,$J191)&gt;$K191*(1+Checks!$B$8),3,IF(IF($B191="Program",$V191,$J191)&gt;$K191,2,IF(AND($B191="Program",OR($W191&gt;0,$V191=0)),0,1)))))</f>
        <v/>
      </c>
      <c r="Z191" s="28">
        <f>IF($A191="",0,IF($C191="Portfolio",1,IF(AND($B191="Project",$C191&lt;&gt;"",$C191&lt;&gt;"Outside the portfolio"),IFERROR(IF(AND(INDEX($B$6:$B$305,MATCH($C191,$A$6:$A$305,0))="Program",INDEX($C$6:$C$305,MATCH($C191,$A$6:$A$305,0))="Portfolio"),1,0),0),0)))</f>
        <v/>
      </c>
      <c r="AA191" s="28">
        <f>IF(AND($A191&lt;&gt;"",$E191="",OR($Q191=1,$D191="Proposed")),1,0)</f>
        <v/>
      </c>
      <c r="AB191" s="28">
        <f>IF(AND($A191&lt;&gt;"",$B191="Program",$F191="",$Q191=1),1,0)</f>
        <v/>
      </c>
      <c r="AC191" s="28">
        <f>IF(OR($A191="",$D191="Completed",$D191="Terminated"),0,IF($C191="",1,IF($C191="Portfolio",0,IF($C191="Outside the portfolio",IF($Q191=1,2,0),IF($B191="Project",IF(IFERROR(INDEX($B$6:$B$305,MATCH($C191,$A$6:$A$305,0)),"")="Program",0,1),1)))))</f>
        <v/>
      </c>
      <c r="AD191" s="28">
        <f>IF(AND($A191&lt;&gt;"",OR($M191="■ Red",$M191="◧ Amber"),$L191=""),1,0)</f>
        <v/>
      </c>
      <c r="AE191" s="28">
        <f>$AA191+$AB191+IF($AC191&gt;0,1,0)+$AD191+$AG191+$AH191</f>
        <v/>
      </c>
      <c r="AF191" s="25" t="n"/>
      <c r="AG191" s="28">
        <f>IF(AND($A191&lt;&gt;"",$K191&lt;&gt;"",$C191&lt;&gt;"Portfolio",$D191&lt;&gt;"Completed",$D191&lt;&gt;"Terminated"),1,0)</f>
        <v/>
      </c>
      <c r="AH191" s="28">
        <f>IF(AND($A191&lt;&gt;"",COUNTIF($A$6:$A$305,$A191)&gt;1),1,0)</f>
        <v/>
      </c>
      <c r="AI191" s="28">
        <f>IF(AND($A191&lt;&gt;"",$C191="Portfolio"),COUNTIFS($C$6:$C191,"Portfolio",$A$6:$A191,"&lt;&gt;"),"")</f>
        <v/>
      </c>
    </row>
    <row r="192">
      <c r="A192" s="25" t="n"/>
      <c r="B192" s="25" t="n"/>
      <c r="C192" s="25" t="n"/>
      <c r="D192" s="25" t="n"/>
      <c r="E192" s="25" t="n"/>
      <c r="F192" s="25" t="n"/>
      <c r="G192" s="25" t="n"/>
      <c r="H192" s="26" t="n"/>
      <c r="I192" s="26" t="n"/>
      <c r="J192" s="27" t="n"/>
      <c r="K192" s="27" t="n"/>
      <c r="L192" s="23" t="n"/>
      <c r="M192" s="28">
        <f>IF($A192="","",IF($D192="","Not read",IF($Q192=0,"Not counted",IF(MAX($X192,$Y192)=3,"■ Red",IF(MAX($X192,$Y192)=2,"◧ Amber",IF(MAX($X192,$Y192)=1,"□ On track","Not read"))))))</f>
        <v/>
      </c>
      <c r="N192" s="28">
        <f>IF(OR($A192="",$B192&lt;&gt;"Program"),"","■ "&amp;COUNTIFS($C$6:$C$305,$A192,$M$6:$M$305,"■ Red")&amp;" Red, ◧ "&amp;COUNTIFS($C$6:$C$305,$A192,$M$6:$M$305,"◧ Amber")&amp;" Amber")</f>
        <v/>
      </c>
      <c r="O192" s="29">
        <f>IF(OR($A192="",$E192=""),"",COUNTIFS($E$6:$E$305,$E192,$D$6:$D$305,"Active")+COUNTIFS($E$6:$E$305,$E192,$D$6:$D$305,"Paused"))</f>
        <v/>
      </c>
      <c r="P192" s="28">
        <f>IF($A192="","",IF($AE192=0,"○ Clear",IF($AA192=1,"△ No owner",IF($AC192=1,"△ Check Sits under",IF($AC192=2,"△ Outside the portfolio",IF($AB192=1,"△ No sponsor",IF($AH192=1,"△ Name used twice",IF($AG192=1,"△ Budget only counts under Portfolio","△ No variance note"))))))&amp;IF($AE192&gt;1," (+"&amp;($AE192-1)&amp;" more)","")))</f>
        <v/>
      </c>
      <c r="Q192" s="28">
        <f>IF(AND($A192&lt;&gt;"",OR($D192="Active",$D192="Paused")),1,0)</f>
        <v/>
      </c>
      <c r="R192" s="28">
        <f>IFERROR(INDEX($A$6:$A$305,MATCH(185,$S$6:$S$305,0)),"")</f>
        <v/>
      </c>
      <c r="S192" s="28">
        <f>IF(AND($A192&lt;&gt;"",$B192="Program"),COUNTIFS($B$6:$B192,"Program",$A$6:$A192,"&lt;&gt;"),"")</f>
        <v/>
      </c>
      <c r="T192" s="30">
        <f>IF(AND($A192&lt;&gt;"",$B192="Program"),SUMPRODUCT(MAX(($C$6:$C$305=$A192)*($B$6:$B$305="Project")*($D$6:$D$305&lt;&gt;"Proposed")*$I$6:$I$305)),0)</f>
        <v/>
      </c>
      <c r="U192" s="30">
        <f>IF($I192&lt;&gt;"",$I192,IF($T192&gt;0,$T192,""))</f>
        <v/>
      </c>
      <c r="V192" s="28">
        <f>IF(AND($A192&lt;&gt;"",$B192="Program"),SUMIFS($J$6:$J$305,$C$6:$C$305,$A192,$B$6:$B$305,"Project",$D$6:$D$305,"&lt;&gt;Proposed"),0)</f>
        <v/>
      </c>
      <c r="W192" s="28">
        <f>IF(AND($A192&lt;&gt;"",$B192="Program"),COUNTIFS($C$6:$C$305,$A192,$B$6:$B$305,"Project",$D$6:$D$305,"&lt;&gt;Proposed")-COUNTIFS($C$6:$C$305,$A192,$B$6:$B$305,"Project",$D$6:$D$305,"&lt;&gt;Proposed",$J$6:$J$305,"&gt;=0"),0)</f>
        <v/>
      </c>
      <c r="X192" s="28">
        <f>IF(OR($Q192=0,$H192="",$AF192="Sprint"),0,IF(AND($B192="Project",$H192&lt;TODAY()),3,IF($U192="",0,IF($U192&lt;=$H192,1,IF(NETWORKDAYS($H192,$U192)-1&gt;IF($B192="Program",Checks!$B$7,Checks!$B$6),3,2)))))</f>
        <v/>
      </c>
      <c r="Y192" s="28">
        <f>IF(OR($Q192=0,$K192="",$K192=0,$AF192="Sprint"),0,IF(AND($B192="Project",$J192=""),0,IF(IF($B192="Program",$V192,$J192)&gt;$K192*(1+Checks!$B$8),3,IF(IF($B192="Program",$V192,$J192)&gt;$K192,2,IF(AND($B192="Program",OR($W192&gt;0,$V192=0)),0,1)))))</f>
        <v/>
      </c>
      <c r="Z192" s="28">
        <f>IF($A192="",0,IF($C192="Portfolio",1,IF(AND($B192="Project",$C192&lt;&gt;"",$C192&lt;&gt;"Outside the portfolio"),IFERROR(IF(AND(INDEX($B$6:$B$305,MATCH($C192,$A$6:$A$305,0))="Program",INDEX($C$6:$C$305,MATCH($C192,$A$6:$A$305,0))="Portfolio"),1,0),0),0)))</f>
        <v/>
      </c>
      <c r="AA192" s="28">
        <f>IF(AND($A192&lt;&gt;"",$E192="",OR($Q192=1,$D192="Proposed")),1,0)</f>
        <v/>
      </c>
      <c r="AB192" s="28">
        <f>IF(AND($A192&lt;&gt;"",$B192="Program",$F192="",$Q192=1),1,0)</f>
        <v/>
      </c>
      <c r="AC192" s="28">
        <f>IF(OR($A192="",$D192="Completed",$D192="Terminated"),0,IF($C192="",1,IF($C192="Portfolio",0,IF($C192="Outside the portfolio",IF($Q192=1,2,0),IF($B192="Project",IF(IFERROR(INDEX($B$6:$B$305,MATCH($C192,$A$6:$A$305,0)),"")="Program",0,1),1)))))</f>
        <v/>
      </c>
      <c r="AD192" s="28">
        <f>IF(AND($A192&lt;&gt;"",OR($M192="■ Red",$M192="◧ Amber"),$L192=""),1,0)</f>
        <v/>
      </c>
      <c r="AE192" s="28">
        <f>$AA192+$AB192+IF($AC192&gt;0,1,0)+$AD192+$AG192+$AH192</f>
        <v/>
      </c>
      <c r="AF192" s="25" t="n"/>
      <c r="AG192" s="28">
        <f>IF(AND($A192&lt;&gt;"",$K192&lt;&gt;"",$C192&lt;&gt;"Portfolio",$D192&lt;&gt;"Completed",$D192&lt;&gt;"Terminated"),1,0)</f>
        <v/>
      </c>
      <c r="AH192" s="28">
        <f>IF(AND($A192&lt;&gt;"",COUNTIF($A$6:$A$305,$A192)&gt;1),1,0)</f>
        <v/>
      </c>
      <c r="AI192" s="28">
        <f>IF(AND($A192&lt;&gt;"",$C192="Portfolio"),COUNTIFS($C$6:$C192,"Portfolio",$A$6:$A192,"&lt;&gt;"),"")</f>
        <v/>
      </c>
    </row>
    <row r="193">
      <c r="A193" s="25" t="n"/>
      <c r="B193" s="25" t="n"/>
      <c r="C193" s="25" t="n"/>
      <c r="D193" s="25" t="n"/>
      <c r="E193" s="25" t="n"/>
      <c r="F193" s="25" t="n"/>
      <c r="G193" s="25" t="n"/>
      <c r="H193" s="26" t="n"/>
      <c r="I193" s="26" t="n"/>
      <c r="J193" s="27" t="n"/>
      <c r="K193" s="27" t="n"/>
      <c r="L193" s="23" t="n"/>
      <c r="M193" s="28">
        <f>IF($A193="","",IF($D193="","Not read",IF($Q193=0,"Not counted",IF(MAX($X193,$Y193)=3,"■ Red",IF(MAX($X193,$Y193)=2,"◧ Amber",IF(MAX($X193,$Y193)=1,"□ On track","Not read"))))))</f>
        <v/>
      </c>
      <c r="N193" s="28">
        <f>IF(OR($A193="",$B193&lt;&gt;"Program"),"","■ "&amp;COUNTIFS($C$6:$C$305,$A193,$M$6:$M$305,"■ Red")&amp;" Red, ◧ "&amp;COUNTIFS($C$6:$C$305,$A193,$M$6:$M$305,"◧ Amber")&amp;" Amber")</f>
        <v/>
      </c>
      <c r="O193" s="29">
        <f>IF(OR($A193="",$E193=""),"",COUNTIFS($E$6:$E$305,$E193,$D$6:$D$305,"Active")+COUNTIFS($E$6:$E$305,$E193,$D$6:$D$305,"Paused"))</f>
        <v/>
      </c>
      <c r="P193" s="28">
        <f>IF($A193="","",IF($AE193=0,"○ Clear",IF($AA193=1,"△ No owner",IF($AC193=1,"△ Check Sits under",IF($AC193=2,"△ Outside the portfolio",IF($AB193=1,"△ No sponsor",IF($AH193=1,"△ Name used twice",IF($AG193=1,"△ Budget only counts under Portfolio","△ No variance note"))))))&amp;IF($AE193&gt;1," (+"&amp;($AE193-1)&amp;" more)","")))</f>
        <v/>
      </c>
      <c r="Q193" s="28">
        <f>IF(AND($A193&lt;&gt;"",OR($D193="Active",$D193="Paused")),1,0)</f>
        <v/>
      </c>
      <c r="R193" s="28">
        <f>IFERROR(INDEX($A$6:$A$305,MATCH(186,$S$6:$S$305,0)),"")</f>
        <v/>
      </c>
      <c r="S193" s="28">
        <f>IF(AND($A193&lt;&gt;"",$B193="Program"),COUNTIFS($B$6:$B193,"Program",$A$6:$A193,"&lt;&gt;"),"")</f>
        <v/>
      </c>
      <c r="T193" s="30">
        <f>IF(AND($A193&lt;&gt;"",$B193="Program"),SUMPRODUCT(MAX(($C$6:$C$305=$A193)*($B$6:$B$305="Project")*($D$6:$D$305&lt;&gt;"Proposed")*$I$6:$I$305)),0)</f>
        <v/>
      </c>
      <c r="U193" s="30">
        <f>IF($I193&lt;&gt;"",$I193,IF($T193&gt;0,$T193,""))</f>
        <v/>
      </c>
      <c r="V193" s="28">
        <f>IF(AND($A193&lt;&gt;"",$B193="Program"),SUMIFS($J$6:$J$305,$C$6:$C$305,$A193,$B$6:$B$305,"Project",$D$6:$D$305,"&lt;&gt;Proposed"),0)</f>
        <v/>
      </c>
      <c r="W193" s="28">
        <f>IF(AND($A193&lt;&gt;"",$B193="Program"),COUNTIFS($C$6:$C$305,$A193,$B$6:$B$305,"Project",$D$6:$D$305,"&lt;&gt;Proposed")-COUNTIFS($C$6:$C$305,$A193,$B$6:$B$305,"Project",$D$6:$D$305,"&lt;&gt;Proposed",$J$6:$J$305,"&gt;=0"),0)</f>
        <v/>
      </c>
      <c r="X193" s="28">
        <f>IF(OR($Q193=0,$H193="",$AF193="Sprint"),0,IF(AND($B193="Project",$H193&lt;TODAY()),3,IF($U193="",0,IF($U193&lt;=$H193,1,IF(NETWORKDAYS($H193,$U193)-1&gt;IF($B193="Program",Checks!$B$7,Checks!$B$6),3,2)))))</f>
        <v/>
      </c>
      <c r="Y193" s="28">
        <f>IF(OR($Q193=0,$K193="",$K193=0,$AF193="Sprint"),0,IF(AND($B193="Project",$J193=""),0,IF(IF($B193="Program",$V193,$J193)&gt;$K193*(1+Checks!$B$8),3,IF(IF($B193="Program",$V193,$J193)&gt;$K193,2,IF(AND($B193="Program",OR($W193&gt;0,$V193=0)),0,1)))))</f>
        <v/>
      </c>
      <c r="Z193" s="28">
        <f>IF($A193="",0,IF($C193="Portfolio",1,IF(AND($B193="Project",$C193&lt;&gt;"",$C193&lt;&gt;"Outside the portfolio"),IFERROR(IF(AND(INDEX($B$6:$B$305,MATCH($C193,$A$6:$A$305,0))="Program",INDEX($C$6:$C$305,MATCH($C193,$A$6:$A$305,0))="Portfolio"),1,0),0),0)))</f>
        <v/>
      </c>
      <c r="AA193" s="28">
        <f>IF(AND($A193&lt;&gt;"",$E193="",OR($Q193=1,$D193="Proposed")),1,0)</f>
        <v/>
      </c>
      <c r="AB193" s="28">
        <f>IF(AND($A193&lt;&gt;"",$B193="Program",$F193="",$Q193=1),1,0)</f>
        <v/>
      </c>
      <c r="AC193" s="28">
        <f>IF(OR($A193="",$D193="Completed",$D193="Terminated"),0,IF($C193="",1,IF($C193="Portfolio",0,IF($C193="Outside the portfolio",IF($Q193=1,2,0),IF($B193="Project",IF(IFERROR(INDEX($B$6:$B$305,MATCH($C193,$A$6:$A$305,0)),"")="Program",0,1),1)))))</f>
        <v/>
      </c>
      <c r="AD193" s="28">
        <f>IF(AND($A193&lt;&gt;"",OR($M193="■ Red",$M193="◧ Amber"),$L193=""),1,0)</f>
        <v/>
      </c>
      <c r="AE193" s="28">
        <f>$AA193+$AB193+IF($AC193&gt;0,1,0)+$AD193+$AG193+$AH193</f>
        <v/>
      </c>
      <c r="AF193" s="25" t="n"/>
      <c r="AG193" s="28">
        <f>IF(AND($A193&lt;&gt;"",$K193&lt;&gt;"",$C193&lt;&gt;"Portfolio",$D193&lt;&gt;"Completed",$D193&lt;&gt;"Terminated"),1,0)</f>
        <v/>
      </c>
      <c r="AH193" s="28">
        <f>IF(AND($A193&lt;&gt;"",COUNTIF($A$6:$A$305,$A193)&gt;1),1,0)</f>
        <v/>
      </c>
      <c r="AI193" s="28">
        <f>IF(AND($A193&lt;&gt;"",$C193="Portfolio"),COUNTIFS($C$6:$C193,"Portfolio",$A$6:$A193,"&lt;&gt;"),"")</f>
        <v/>
      </c>
    </row>
    <row r="194">
      <c r="A194" s="25" t="n"/>
      <c r="B194" s="25" t="n"/>
      <c r="C194" s="25" t="n"/>
      <c r="D194" s="25" t="n"/>
      <c r="E194" s="25" t="n"/>
      <c r="F194" s="25" t="n"/>
      <c r="G194" s="25" t="n"/>
      <c r="H194" s="26" t="n"/>
      <c r="I194" s="26" t="n"/>
      <c r="J194" s="27" t="n"/>
      <c r="K194" s="27" t="n"/>
      <c r="L194" s="23" t="n"/>
      <c r="M194" s="28">
        <f>IF($A194="","",IF($D194="","Not read",IF($Q194=0,"Not counted",IF(MAX($X194,$Y194)=3,"■ Red",IF(MAX($X194,$Y194)=2,"◧ Amber",IF(MAX($X194,$Y194)=1,"□ On track","Not read"))))))</f>
        <v/>
      </c>
      <c r="N194" s="28">
        <f>IF(OR($A194="",$B194&lt;&gt;"Program"),"","■ "&amp;COUNTIFS($C$6:$C$305,$A194,$M$6:$M$305,"■ Red")&amp;" Red, ◧ "&amp;COUNTIFS($C$6:$C$305,$A194,$M$6:$M$305,"◧ Amber")&amp;" Amber")</f>
        <v/>
      </c>
      <c r="O194" s="29">
        <f>IF(OR($A194="",$E194=""),"",COUNTIFS($E$6:$E$305,$E194,$D$6:$D$305,"Active")+COUNTIFS($E$6:$E$305,$E194,$D$6:$D$305,"Paused"))</f>
        <v/>
      </c>
      <c r="P194" s="28">
        <f>IF($A194="","",IF($AE194=0,"○ Clear",IF($AA194=1,"△ No owner",IF($AC194=1,"△ Check Sits under",IF($AC194=2,"△ Outside the portfolio",IF($AB194=1,"△ No sponsor",IF($AH194=1,"△ Name used twice",IF($AG194=1,"△ Budget only counts under Portfolio","△ No variance note"))))))&amp;IF($AE194&gt;1," (+"&amp;($AE194-1)&amp;" more)","")))</f>
        <v/>
      </c>
      <c r="Q194" s="28">
        <f>IF(AND($A194&lt;&gt;"",OR($D194="Active",$D194="Paused")),1,0)</f>
        <v/>
      </c>
      <c r="R194" s="28">
        <f>IFERROR(INDEX($A$6:$A$305,MATCH(187,$S$6:$S$305,0)),"")</f>
        <v/>
      </c>
      <c r="S194" s="28">
        <f>IF(AND($A194&lt;&gt;"",$B194="Program"),COUNTIFS($B$6:$B194,"Program",$A$6:$A194,"&lt;&gt;"),"")</f>
        <v/>
      </c>
      <c r="T194" s="30">
        <f>IF(AND($A194&lt;&gt;"",$B194="Program"),SUMPRODUCT(MAX(($C$6:$C$305=$A194)*($B$6:$B$305="Project")*($D$6:$D$305&lt;&gt;"Proposed")*$I$6:$I$305)),0)</f>
        <v/>
      </c>
      <c r="U194" s="30">
        <f>IF($I194&lt;&gt;"",$I194,IF($T194&gt;0,$T194,""))</f>
        <v/>
      </c>
      <c r="V194" s="28">
        <f>IF(AND($A194&lt;&gt;"",$B194="Program"),SUMIFS($J$6:$J$305,$C$6:$C$305,$A194,$B$6:$B$305,"Project",$D$6:$D$305,"&lt;&gt;Proposed"),0)</f>
        <v/>
      </c>
      <c r="W194" s="28">
        <f>IF(AND($A194&lt;&gt;"",$B194="Program"),COUNTIFS($C$6:$C$305,$A194,$B$6:$B$305,"Project",$D$6:$D$305,"&lt;&gt;Proposed")-COUNTIFS($C$6:$C$305,$A194,$B$6:$B$305,"Project",$D$6:$D$305,"&lt;&gt;Proposed",$J$6:$J$305,"&gt;=0"),0)</f>
        <v/>
      </c>
      <c r="X194" s="28">
        <f>IF(OR($Q194=0,$H194="",$AF194="Sprint"),0,IF(AND($B194="Project",$H194&lt;TODAY()),3,IF($U194="",0,IF($U194&lt;=$H194,1,IF(NETWORKDAYS($H194,$U194)-1&gt;IF($B194="Program",Checks!$B$7,Checks!$B$6),3,2)))))</f>
        <v/>
      </c>
      <c r="Y194" s="28">
        <f>IF(OR($Q194=0,$K194="",$K194=0,$AF194="Sprint"),0,IF(AND($B194="Project",$J194=""),0,IF(IF($B194="Program",$V194,$J194)&gt;$K194*(1+Checks!$B$8),3,IF(IF($B194="Program",$V194,$J194)&gt;$K194,2,IF(AND($B194="Program",OR($W194&gt;0,$V194=0)),0,1)))))</f>
        <v/>
      </c>
      <c r="Z194" s="28">
        <f>IF($A194="",0,IF($C194="Portfolio",1,IF(AND($B194="Project",$C194&lt;&gt;"",$C194&lt;&gt;"Outside the portfolio"),IFERROR(IF(AND(INDEX($B$6:$B$305,MATCH($C194,$A$6:$A$305,0))="Program",INDEX($C$6:$C$305,MATCH($C194,$A$6:$A$305,0))="Portfolio"),1,0),0),0)))</f>
        <v/>
      </c>
      <c r="AA194" s="28">
        <f>IF(AND($A194&lt;&gt;"",$E194="",OR($Q194=1,$D194="Proposed")),1,0)</f>
        <v/>
      </c>
      <c r="AB194" s="28">
        <f>IF(AND($A194&lt;&gt;"",$B194="Program",$F194="",$Q194=1),1,0)</f>
        <v/>
      </c>
      <c r="AC194" s="28">
        <f>IF(OR($A194="",$D194="Completed",$D194="Terminated"),0,IF($C194="",1,IF($C194="Portfolio",0,IF($C194="Outside the portfolio",IF($Q194=1,2,0),IF($B194="Project",IF(IFERROR(INDEX($B$6:$B$305,MATCH($C194,$A$6:$A$305,0)),"")="Program",0,1),1)))))</f>
        <v/>
      </c>
      <c r="AD194" s="28">
        <f>IF(AND($A194&lt;&gt;"",OR($M194="■ Red",$M194="◧ Amber"),$L194=""),1,0)</f>
        <v/>
      </c>
      <c r="AE194" s="28">
        <f>$AA194+$AB194+IF($AC194&gt;0,1,0)+$AD194+$AG194+$AH194</f>
        <v/>
      </c>
      <c r="AF194" s="25" t="n"/>
      <c r="AG194" s="28">
        <f>IF(AND($A194&lt;&gt;"",$K194&lt;&gt;"",$C194&lt;&gt;"Portfolio",$D194&lt;&gt;"Completed",$D194&lt;&gt;"Terminated"),1,0)</f>
        <v/>
      </c>
      <c r="AH194" s="28">
        <f>IF(AND($A194&lt;&gt;"",COUNTIF($A$6:$A$305,$A194)&gt;1),1,0)</f>
        <v/>
      </c>
      <c r="AI194" s="28">
        <f>IF(AND($A194&lt;&gt;"",$C194="Portfolio"),COUNTIFS($C$6:$C194,"Portfolio",$A$6:$A194,"&lt;&gt;"),"")</f>
        <v/>
      </c>
    </row>
    <row r="195">
      <c r="A195" s="25" t="n"/>
      <c r="B195" s="25" t="n"/>
      <c r="C195" s="25" t="n"/>
      <c r="D195" s="25" t="n"/>
      <c r="E195" s="25" t="n"/>
      <c r="F195" s="25" t="n"/>
      <c r="G195" s="25" t="n"/>
      <c r="H195" s="26" t="n"/>
      <c r="I195" s="26" t="n"/>
      <c r="J195" s="27" t="n"/>
      <c r="K195" s="27" t="n"/>
      <c r="L195" s="23" t="n"/>
      <c r="M195" s="28">
        <f>IF($A195="","",IF($D195="","Not read",IF($Q195=0,"Not counted",IF(MAX($X195,$Y195)=3,"■ Red",IF(MAX($X195,$Y195)=2,"◧ Amber",IF(MAX($X195,$Y195)=1,"□ On track","Not read"))))))</f>
        <v/>
      </c>
      <c r="N195" s="28">
        <f>IF(OR($A195="",$B195&lt;&gt;"Program"),"","■ "&amp;COUNTIFS($C$6:$C$305,$A195,$M$6:$M$305,"■ Red")&amp;" Red, ◧ "&amp;COUNTIFS($C$6:$C$305,$A195,$M$6:$M$305,"◧ Amber")&amp;" Amber")</f>
        <v/>
      </c>
      <c r="O195" s="29">
        <f>IF(OR($A195="",$E195=""),"",COUNTIFS($E$6:$E$305,$E195,$D$6:$D$305,"Active")+COUNTIFS($E$6:$E$305,$E195,$D$6:$D$305,"Paused"))</f>
        <v/>
      </c>
      <c r="P195" s="28">
        <f>IF($A195="","",IF($AE195=0,"○ Clear",IF($AA195=1,"△ No owner",IF($AC195=1,"△ Check Sits under",IF($AC195=2,"△ Outside the portfolio",IF($AB195=1,"△ No sponsor",IF($AH195=1,"△ Name used twice",IF($AG195=1,"△ Budget only counts under Portfolio","△ No variance note"))))))&amp;IF($AE195&gt;1," (+"&amp;($AE195-1)&amp;" more)","")))</f>
        <v/>
      </c>
      <c r="Q195" s="28">
        <f>IF(AND($A195&lt;&gt;"",OR($D195="Active",$D195="Paused")),1,0)</f>
        <v/>
      </c>
      <c r="R195" s="28">
        <f>IFERROR(INDEX($A$6:$A$305,MATCH(188,$S$6:$S$305,0)),"")</f>
        <v/>
      </c>
      <c r="S195" s="28">
        <f>IF(AND($A195&lt;&gt;"",$B195="Program"),COUNTIFS($B$6:$B195,"Program",$A$6:$A195,"&lt;&gt;"),"")</f>
        <v/>
      </c>
      <c r="T195" s="30">
        <f>IF(AND($A195&lt;&gt;"",$B195="Program"),SUMPRODUCT(MAX(($C$6:$C$305=$A195)*($B$6:$B$305="Project")*($D$6:$D$305&lt;&gt;"Proposed")*$I$6:$I$305)),0)</f>
        <v/>
      </c>
      <c r="U195" s="30">
        <f>IF($I195&lt;&gt;"",$I195,IF($T195&gt;0,$T195,""))</f>
        <v/>
      </c>
      <c r="V195" s="28">
        <f>IF(AND($A195&lt;&gt;"",$B195="Program"),SUMIFS($J$6:$J$305,$C$6:$C$305,$A195,$B$6:$B$305,"Project",$D$6:$D$305,"&lt;&gt;Proposed"),0)</f>
        <v/>
      </c>
      <c r="W195" s="28">
        <f>IF(AND($A195&lt;&gt;"",$B195="Program"),COUNTIFS($C$6:$C$305,$A195,$B$6:$B$305,"Project",$D$6:$D$305,"&lt;&gt;Proposed")-COUNTIFS($C$6:$C$305,$A195,$B$6:$B$305,"Project",$D$6:$D$305,"&lt;&gt;Proposed",$J$6:$J$305,"&gt;=0"),0)</f>
        <v/>
      </c>
      <c r="X195" s="28">
        <f>IF(OR($Q195=0,$H195="",$AF195="Sprint"),0,IF(AND($B195="Project",$H195&lt;TODAY()),3,IF($U195="",0,IF($U195&lt;=$H195,1,IF(NETWORKDAYS($H195,$U195)-1&gt;IF($B195="Program",Checks!$B$7,Checks!$B$6),3,2)))))</f>
        <v/>
      </c>
      <c r="Y195" s="28">
        <f>IF(OR($Q195=0,$K195="",$K195=0,$AF195="Sprint"),0,IF(AND($B195="Project",$J195=""),0,IF(IF($B195="Program",$V195,$J195)&gt;$K195*(1+Checks!$B$8),3,IF(IF($B195="Program",$V195,$J195)&gt;$K195,2,IF(AND($B195="Program",OR($W195&gt;0,$V195=0)),0,1)))))</f>
        <v/>
      </c>
      <c r="Z195" s="28">
        <f>IF($A195="",0,IF($C195="Portfolio",1,IF(AND($B195="Project",$C195&lt;&gt;"",$C195&lt;&gt;"Outside the portfolio"),IFERROR(IF(AND(INDEX($B$6:$B$305,MATCH($C195,$A$6:$A$305,0))="Program",INDEX($C$6:$C$305,MATCH($C195,$A$6:$A$305,0))="Portfolio"),1,0),0),0)))</f>
        <v/>
      </c>
      <c r="AA195" s="28">
        <f>IF(AND($A195&lt;&gt;"",$E195="",OR($Q195=1,$D195="Proposed")),1,0)</f>
        <v/>
      </c>
      <c r="AB195" s="28">
        <f>IF(AND($A195&lt;&gt;"",$B195="Program",$F195="",$Q195=1),1,0)</f>
        <v/>
      </c>
      <c r="AC195" s="28">
        <f>IF(OR($A195="",$D195="Completed",$D195="Terminated"),0,IF($C195="",1,IF($C195="Portfolio",0,IF($C195="Outside the portfolio",IF($Q195=1,2,0),IF($B195="Project",IF(IFERROR(INDEX($B$6:$B$305,MATCH($C195,$A$6:$A$305,0)),"")="Program",0,1),1)))))</f>
        <v/>
      </c>
      <c r="AD195" s="28">
        <f>IF(AND($A195&lt;&gt;"",OR($M195="■ Red",$M195="◧ Amber"),$L195=""),1,0)</f>
        <v/>
      </c>
      <c r="AE195" s="28">
        <f>$AA195+$AB195+IF($AC195&gt;0,1,0)+$AD195+$AG195+$AH195</f>
        <v/>
      </c>
      <c r="AF195" s="25" t="n"/>
      <c r="AG195" s="28">
        <f>IF(AND($A195&lt;&gt;"",$K195&lt;&gt;"",$C195&lt;&gt;"Portfolio",$D195&lt;&gt;"Completed",$D195&lt;&gt;"Terminated"),1,0)</f>
        <v/>
      </c>
      <c r="AH195" s="28">
        <f>IF(AND($A195&lt;&gt;"",COUNTIF($A$6:$A$305,$A195)&gt;1),1,0)</f>
        <v/>
      </c>
      <c r="AI195" s="28">
        <f>IF(AND($A195&lt;&gt;"",$C195="Portfolio"),COUNTIFS($C$6:$C195,"Portfolio",$A$6:$A195,"&lt;&gt;"),"")</f>
        <v/>
      </c>
    </row>
    <row r="196">
      <c r="A196" s="25" t="n"/>
      <c r="B196" s="25" t="n"/>
      <c r="C196" s="25" t="n"/>
      <c r="D196" s="25" t="n"/>
      <c r="E196" s="25" t="n"/>
      <c r="F196" s="25" t="n"/>
      <c r="G196" s="25" t="n"/>
      <c r="H196" s="26" t="n"/>
      <c r="I196" s="26" t="n"/>
      <c r="J196" s="27" t="n"/>
      <c r="K196" s="27" t="n"/>
      <c r="L196" s="23" t="n"/>
      <c r="M196" s="28">
        <f>IF($A196="","",IF($D196="","Not read",IF($Q196=0,"Not counted",IF(MAX($X196,$Y196)=3,"■ Red",IF(MAX($X196,$Y196)=2,"◧ Amber",IF(MAX($X196,$Y196)=1,"□ On track","Not read"))))))</f>
        <v/>
      </c>
      <c r="N196" s="28">
        <f>IF(OR($A196="",$B196&lt;&gt;"Program"),"","■ "&amp;COUNTIFS($C$6:$C$305,$A196,$M$6:$M$305,"■ Red")&amp;" Red, ◧ "&amp;COUNTIFS($C$6:$C$305,$A196,$M$6:$M$305,"◧ Amber")&amp;" Amber")</f>
        <v/>
      </c>
      <c r="O196" s="29">
        <f>IF(OR($A196="",$E196=""),"",COUNTIFS($E$6:$E$305,$E196,$D$6:$D$305,"Active")+COUNTIFS($E$6:$E$305,$E196,$D$6:$D$305,"Paused"))</f>
        <v/>
      </c>
      <c r="P196" s="28">
        <f>IF($A196="","",IF($AE196=0,"○ Clear",IF($AA196=1,"△ No owner",IF($AC196=1,"△ Check Sits under",IF($AC196=2,"△ Outside the portfolio",IF($AB196=1,"△ No sponsor",IF($AH196=1,"△ Name used twice",IF($AG196=1,"△ Budget only counts under Portfolio","△ No variance note"))))))&amp;IF($AE196&gt;1," (+"&amp;($AE196-1)&amp;" more)","")))</f>
        <v/>
      </c>
      <c r="Q196" s="28">
        <f>IF(AND($A196&lt;&gt;"",OR($D196="Active",$D196="Paused")),1,0)</f>
        <v/>
      </c>
      <c r="R196" s="28">
        <f>IFERROR(INDEX($A$6:$A$305,MATCH(189,$S$6:$S$305,0)),"")</f>
        <v/>
      </c>
      <c r="S196" s="28">
        <f>IF(AND($A196&lt;&gt;"",$B196="Program"),COUNTIFS($B$6:$B196,"Program",$A$6:$A196,"&lt;&gt;"),"")</f>
        <v/>
      </c>
      <c r="T196" s="30">
        <f>IF(AND($A196&lt;&gt;"",$B196="Program"),SUMPRODUCT(MAX(($C$6:$C$305=$A196)*($B$6:$B$305="Project")*($D$6:$D$305&lt;&gt;"Proposed")*$I$6:$I$305)),0)</f>
        <v/>
      </c>
      <c r="U196" s="30">
        <f>IF($I196&lt;&gt;"",$I196,IF($T196&gt;0,$T196,""))</f>
        <v/>
      </c>
      <c r="V196" s="28">
        <f>IF(AND($A196&lt;&gt;"",$B196="Program"),SUMIFS($J$6:$J$305,$C$6:$C$305,$A196,$B$6:$B$305,"Project",$D$6:$D$305,"&lt;&gt;Proposed"),0)</f>
        <v/>
      </c>
      <c r="W196" s="28">
        <f>IF(AND($A196&lt;&gt;"",$B196="Program"),COUNTIFS($C$6:$C$305,$A196,$B$6:$B$305,"Project",$D$6:$D$305,"&lt;&gt;Proposed")-COUNTIFS($C$6:$C$305,$A196,$B$6:$B$305,"Project",$D$6:$D$305,"&lt;&gt;Proposed",$J$6:$J$305,"&gt;=0"),0)</f>
        <v/>
      </c>
      <c r="X196" s="28">
        <f>IF(OR($Q196=0,$H196="",$AF196="Sprint"),0,IF(AND($B196="Project",$H196&lt;TODAY()),3,IF($U196="",0,IF($U196&lt;=$H196,1,IF(NETWORKDAYS($H196,$U196)-1&gt;IF($B196="Program",Checks!$B$7,Checks!$B$6),3,2)))))</f>
        <v/>
      </c>
      <c r="Y196" s="28">
        <f>IF(OR($Q196=0,$K196="",$K196=0,$AF196="Sprint"),0,IF(AND($B196="Project",$J196=""),0,IF(IF($B196="Program",$V196,$J196)&gt;$K196*(1+Checks!$B$8),3,IF(IF($B196="Program",$V196,$J196)&gt;$K196,2,IF(AND($B196="Program",OR($W196&gt;0,$V196=0)),0,1)))))</f>
        <v/>
      </c>
      <c r="Z196" s="28">
        <f>IF($A196="",0,IF($C196="Portfolio",1,IF(AND($B196="Project",$C196&lt;&gt;"",$C196&lt;&gt;"Outside the portfolio"),IFERROR(IF(AND(INDEX($B$6:$B$305,MATCH($C196,$A$6:$A$305,0))="Program",INDEX($C$6:$C$305,MATCH($C196,$A$6:$A$305,0))="Portfolio"),1,0),0),0)))</f>
        <v/>
      </c>
      <c r="AA196" s="28">
        <f>IF(AND($A196&lt;&gt;"",$E196="",OR($Q196=1,$D196="Proposed")),1,0)</f>
        <v/>
      </c>
      <c r="AB196" s="28">
        <f>IF(AND($A196&lt;&gt;"",$B196="Program",$F196="",$Q196=1),1,0)</f>
        <v/>
      </c>
      <c r="AC196" s="28">
        <f>IF(OR($A196="",$D196="Completed",$D196="Terminated"),0,IF($C196="",1,IF($C196="Portfolio",0,IF($C196="Outside the portfolio",IF($Q196=1,2,0),IF($B196="Project",IF(IFERROR(INDEX($B$6:$B$305,MATCH($C196,$A$6:$A$305,0)),"")="Program",0,1),1)))))</f>
        <v/>
      </c>
      <c r="AD196" s="28">
        <f>IF(AND($A196&lt;&gt;"",OR($M196="■ Red",$M196="◧ Amber"),$L196=""),1,0)</f>
        <v/>
      </c>
      <c r="AE196" s="28">
        <f>$AA196+$AB196+IF($AC196&gt;0,1,0)+$AD196+$AG196+$AH196</f>
        <v/>
      </c>
      <c r="AF196" s="25" t="n"/>
      <c r="AG196" s="28">
        <f>IF(AND($A196&lt;&gt;"",$K196&lt;&gt;"",$C196&lt;&gt;"Portfolio",$D196&lt;&gt;"Completed",$D196&lt;&gt;"Terminated"),1,0)</f>
        <v/>
      </c>
      <c r="AH196" s="28">
        <f>IF(AND($A196&lt;&gt;"",COUNTIF($A$6:$A$305,$A196)&gt;1),1,0)</f>
        <v/>
      </c>
      <c r="AI196" s="28">
        <f>IF(AND($A196&lt;&gt;"",$C196="Portfolio"),COUNTIFS($C$6:$C196,"Portfolio",$A$6:$A196,"&lt;&gt;"),"")</f>
        <v/>
      </c>
    </row>
    <row r="197">
      <c r="A197" s="25" t="n"/>
      <c r="B197" s="25" t="n"/>
      <c r="C197" s="25" t="n"/>
      <c r="D197" s="25" t="n"/>
      <c r="E197" s="25" t="n"/>
      <c r="F197" s="25" t="n"/>
      <c r="G197" s="25" t="n"/>
      <c r="H197" s="26" t="n"/>
      <c r="I197" s="26" t="n"/>
      <c r="J197" s="27" t="n"/>
      <c r="K197" s="27" t="n"/>
      <c r="L197" s="23" t="n"/>
      <c r="M197" s="28">
        <f>IF($A197="","",IF($D197="","Not read",IF($Q197=0,"Not counted",IF(MAX($X197,$Y197)=3,"■ Red",IF(MAX($X197,$Y197)=2,"◧ Amber",IF(MAX($X197,$Y197)=1,"□ On track","Not read"))))))</f>
        <v/>
      </c>
      <c r="N197" s="28">
        <f>IF(OR($A197="",$B197&lt;&gt;"Program"),"","■ "&amp;COUNTIFS($C$6:$C$305,$A197,$M$6:$M$305,"■ Red")&amp;" Red, ◧ "&amp;COUNTIFS($C$6:$C$305,$A197,$M$6:$M$305,"◧ Amber")&amp;" Amber")</f>
        <v/>
      </c>
      <c r="O197" s="29">
        <f>IF(OR($A197="",$E197=""),"",COUNTIFS($E$6:$E$305,$E197,$D$6:$D$305,"Active")+COUNTIFS($E$6:$E$305,$E197,$D$6:$D$305,"Paused"))</f>
        <v/>
      </c>
      <c r="P197" s="28">
        <f>IF($A197="","",IF($AE197=0,"○ Clear",IF($AA197=1,"△ No owner",IF($AC197=1,"△ Check Sits under",IF($AC197=2,"△ Outside the portfolio",IF($AB197=1,"△ No sponsor",IF($AH197=1,"△ Name used twice",IF($AG197=1,"△ Budget only counts under Portfolio","△ No variance note"))))))&amp;IF($AE197&gt;1," (+"&amp;($AE197-1)&amp;" more)","")))</f>
        <v/>
      </c>
      <c r="Q197" s="28">
        <f>IF(AND($A197&lt;&gt;"",OR($D197="Active",$D197="Paused")),1,0)</f>
        <v/>
      </c>
      <c r="R197" s="28">
        <f>IFERROR(INDEX($A$6:$A$305,MATCH(190,$S$6:$S$305,0)),"")</f>
        <v/>
      </c>
      <c r="S197" s="28">
        <f>IF(AND($A197&lt;&gt;"",$B197="Program"),COUNTIFS($B$6:$B197,"Program",$A$6:$A197,"&lt;&gt;"),"")</f>
        <v/>
      </c>
      <c r="T197" s="30">
        <f>IF(AND($A197&lt;&gt;"",$B197="Program"),SUMPRODUCT(MAX(($C$6:$C$305=$A197)*($B$6:$B$305="Project")*($D$6:$D$305&lt;&gt;"Proposed")*$I$6:$I$305)),0)</f>
        <v/>
      </c>
      <c r="U197" s="30">
        <f>IF($I197&lt;&gt;"",$I197,IF($T197&gt;0,$T197,""))</f>
        <v/>
      </c>
      <c r="V197" s="28">
        <f>IF(AND($A197&lt;&gt;"",$B197="Program"),SUMIFS($J$6:$J$305,$C$6:$C$305,$A197,$B$6:$B$305,"Project",$D$6:$D$305,"&lt;&gt;Proposed"),0)</f>
        <v/>
      </c>
      <c r="W197" s="28">
        <f>IF(AND($A197&lt;&gt;"",$B197="Program"),COUNTIFS($C$6:$C$305,$A197,$B$6:$B$305,"Project",$D$6:$D$305,"&lt;&gt;Proposed")-COUNTIFS($C$6:$C$305,$A197,$B$6:$B$305,"Project",$D$6:$D$305,"&lt;&gt;Proposed",$J$6:$J$305,"&gt;=0"),0)</f>
        <v/>
      </c>
      <c r="X197" s="28">
        <f>IF(OR($Q197=0,$H197="",$AF197="Sprint"),0,IF(AND($B197="Project",$H197&lt;TODAY()),3,IF($U197="",0,IF($U197&lt;=$H197,1,IF(NETWORKDAYS($H197,$U197)-1&gt;IF($B197="Program",Checks!$B$7,Checks!$B$6),3,2)))))</f>
        <v/>
      </c>
      <c r="Y197" s="28">
        <f>IF(OR($Q197=0,$K197="",$K197=0,$AF197="Sprint"),0,IF(AND($B197="Project",$J197=""),0,IF(IF($B197="Program",$V197,$J197)&gt;$K197*(1+Checks!$B$8),3,IF(IF($B197="Program",$V197,$J197)&gt;$K197,2,IF(AND($B197="Program",OR($W197&gt;0,$V197=0)),0,1)))))</f>
        <v/>
      </c>
      <c r="Z197" s="28">
        <f>IF($A197="",0,IF($C197="Portfolio",1,IF(AND($B197="Project",$C197&lt;&gt;"",$C197&lt;&gt;"Outside the portfolio"),IFERROR(IF(AND(INDEX($B$6:$B$305,MATCH($C197,$A$6:$A$305,0))="Program",INDEX($C$6:$C$305,MATCH($C197,$A$6:$A$305,0))="Portfolio"),1,0),0),0)))</f>
        <v/>
      </c>
      <c r="AA197" s="28">
        <f>IF(AND($A197&lt;&gt;"",$E197="",OR($Q197=1,$D197="Proposed")),1,0)</f>
        <v/>
      </c>
      <c r="AB197" s="28">
        <f>IF(AND($A197&lt;&gt;"",$B197="Program",$F197="",$Q197=1),1,0)</f>
        <v/>
      </c>
      <c r="AC197" s="28">
        <f>IF(OR($A197="",$D197="Completed",$D197="Terminated"),0,IF($C197="",1,IF($C197="Portfolio",0,IF($C197="Outside the portfolio",IF($Q197=1,2,0),IF($B197="Project",IF(IFERROR(INDEX($B$6:$B$305,MATCH($C197,$A$6:$A$305,0)),"")="Program",0,1),1)))))</f>
        <v/>
      </c>
      <c r="AD197" s="28">
        <f>IF(AND($A197&lt;&gt;"",OR($M197="■ Red",$M197="◧ Amber"),$L197=""),1,0)</f>
        <v/>
      </c>
      <c r="AE197" s="28">
        <f>$AA197+$AB197+IF($AC197&gt;0,1,0)+$AD197+$AG197+$AH197</f>
        <v/>
      </c>
      <c r="AF197" s="25" t="n"/>
      <c r="AG197" s="28">
        <f>IF(AND($A197&lt;&gt;"",$K197&lt;&gt;"",$C197&lt;&gt;"Portfolio",$D197&lt;&gt;"Completed",$D197&lt;&gt;"Terminated"),1,0)</f>
        <v/>
      </c>
      <c r="AH197" s="28">
        <f>IF(AND($A197&lt;&gt;"",COUNTIF($A$6:$A$305,$A197)&gt;1),1,0)</f>
        <v/>
      </c>
      <c r="AI197" s="28">
        <f>IF(AND($A197&lt;&gt;"",$C197="Portfolio"),COUNTIFS($C$6:$C197,"Portfolio",$A$6:$A197,"&lt;&gt;"),"")</f>
        <v/>
      </c>
    </row>
    <row r="198">
      <c r="A198" s="25" t="n"/>
      <c r="B198" s="25" t="n"/>
      <c r="C198" s="25" t="n"/>
      <c r="D198" s="25" t="n"/>
      <c r="E198" s="25" t="n"/>
      <c r="F198" s="25" t="n"/>
      <c r="G198" s="25" t="n"/>
      <c r="H198" s="26" t="n"/>
      <c r="I198" s="26" t="n"/>
      <c r="J198" s="27" t="n"/>
      <c r="K198" s="27" t="n"/>
      <c r="L198" s="23" t="n"/>
      <c r="M198" s="28">
        <f>IF($A198="","",IF($D198="","Not read",IF($Q198=0,"Not counted",IF(MAX($X198,$Y198)=3,"■ Red",IF(MAX($X198,$Y198)=2,"◧ Amber",IF(MAX($X198,$Y198)=1,"□ On track","Not read"))))))</f>
        <v/>
      </c>
      <c r="N198" s="28">
        <f>IF(OR($A198="",$B198&lt;&gt;"Program"),"","■ "&amp;COUNTIFS($C$6:$C$305,$A198,$M$6:$M$305,"■ Red")&amp;" Red, ◧ "&amp;COUNTIFS($C$6:$C$305,$A198,$M$6:$M$305,"◧ Amber")&amp;" Amber")</f>
        <v/>
      </c>
      <c r="O198" s="29">
        <f>IF(OR($A198="",$E198=""),"",COUNTIFS($E$6:$E$305,$E198,$D$6:$D$305,"Active")+COUNTIFS($E$6:$E$305,$E198,$D$6:$D$305,"Paused"))</f>
        <v/>
      </c>
      <c r="P198" s="28">
        <f>IF($A198="","",IF($AE198=0,"○ Clear",IF($AA198=1,"△ No owner",IF($AC198=1,"△ Check Sits under",IF($AC198=2,"△ Outside the portfolio",IF($AB198=1,"△ No sponsor",IF($AH198=1,"△ Name used twice",IF($AG198=1,"△ Budget only counts under Portfolio","△ No variance note"))))))&amp;IF($AE198&gt;1," (+"&amp;($AE198-1)&amp;" more)","")))</f>
        <v/>
      </c>
      <c r="Q198" s="28">
        <f>IF(AND($A198&lt;&gt;"",OR($D198="Active",$D198="Paused")),1,0)</f>
        <v/>
      </c>
      <c r="R198" s="28">
        <f>IFERROR(INDEX($A$6:$A$305,MATCH(191,$S$6:$S$305,0)),"")</f>
        <v/>
      </c>
      <c r="S198" s="28">
        <f>IF(AND($A198&lt;&gt;"",$B198="Program"),COUNTIFS($B$6:$B198,"Program",$A$6:$A198,"&lt;&gt;"),"")</f>
        <v/>
      </c>
      <c r="T198" s="30">
        <f>IF(AND($A198&lt;&gt;"",$B198="Program"),SUMPRODUCT(MAX(($C$6:$C$305=$A198)*($B$6:$B$305="Project")*($D$6:$D$305&lt;&gt;"Proposed")*$I$6:$I$305)),0)</f>
        <v/>
      </c>
      <c r="U198" s="30">
        <f>IF($I198&lt;&gt;"",$I198,IF($T198&gt;0,$T198,""))</f>
        <v/>
      </c>
      <c r="V198" s="28">
        <f>IF(AND($A198&lt;&gt;"",$B198="Program"),SUMIFS($J$6:$J$305,$C$6:$C$305,$A198,$B$6:$B$305,"Project",$D$6:$D$305,"&lt;&gt;Proposed"),0)</f>
        <v/>
      </c>
      <c r="W198" s="28">
        <f>IF(AND($A198&lt;&gt;"",$B198="Program"),COUNTIFS($C$6:$C$305,$A198,$B$6:$B$305,"Project",$D$6:$D$305,"&lt;&gt;Proposed")-COUNTIFS($C$6:$C$305,$A198,$B$6:$B$305,"Project",$D$6:$D$305,"&lt;&gt;Proposed",$J$6:$J$305,"&gt;=0"),0)</f>
        <v/>
      </c>
      <c r="X198" s="28">
        <f>IF(OR($Q198=0,$H198="",$AF198="Sprint"),0,IF(AND($B198="Project",$H198&lt;TODAY()),3,IF($U198="",0,IF($U198&lt;=$H198,1,IF(NETWORKDAYS($H198,$U198)-1&gt;IF($B198="Program",Checks!$B$7,Checks!$B$6),3,2)))))</f>
        <v/>
      </c>
      <c r="Y198" s="28">
        <f>IF(OR($Q198=0,$K198="",$K198=0,$AF198="Sprint"),0,IF(AND($B198="Project",$J198=""),0,IF(IF($B198="Program",$V198,$J198)&gt;$K198*(1+Checks!$B$8),3,IF(IF($B198="Program",$V198,$J198)&gt;$K198,2,IF(AND($B198="Program",OR($W198&gt;0,$V198=0)),0,1)))))</f>
        <v/>
      </c>
      <c r="Z198" s="28">
        <f>IF($A198="",0,IF($C198="Portfolio",1,IF(AND($B198="Project",$C198&lt;&gt;"",$C198&lt;&gt;"Outside the portfolio"),IFERROR(IF(AND(INDEX($B$6:$B$305,MATCH($C198,$A$6:$A$305,0))="Program",INDEX($C$6:$C$305,MATCH($C198,$A$6:$A$305,0))="Portfolio"),1,0),0),0)))</f>
        <v/>
      </c>
      <c r="AA198" s="28">
        <f>IF(AND($A198&lt;&gt;"",$E198="",OR($Q198=1,$D198="Proposed")),1,0)</f>
        <v/>
      </c>
      <c r="AB198" s="28">
        <f>IF(AND($A198&lt;&gt;"",$B198="Program",$F198="",$Q198=1),1,0)</f>
        <v/>
      </c>
      <c r="AC198" s="28">
        <f>IF(OR($A198="",$D198="Completed",$D198="Terminated"),0,IF($C198="",1,IF($C198="Portfolio",0,IF($C198="Outside the portfolio",IF($Q198=1,2,0),IF($B198="Project",IF(IFERROR(INDEX($B$6:$B$305,MATCH($C198,$A$6:$A$305,0)),"")="Program",0,1),1)))))</f>
        <v/>
      </c>
      <c r="AD198" s="28">
        <f>IF(AND($A198&lt;&gt;"",OR($M198="■ Red",$M198="◧ Amber"),$L198=""),1,0)</f>
        <v/>
      </c>
      <c r="AE198" s="28">
        <f>$AA198+$AB198+IF($AC198&gt;0,1,0)+$AD198+$AG198+$AH198</f>
        <v/>
      </c>
      <c r="AF198" s="25" t="n"/>
      <c r="AG198" s="28">
        <f>IF(AND($A198&lt;&gt;"",$K198&lt;&gt;"",$C198&lt;&gt;"Portfolio",$D198&lt;&gt;"Completed",$D198&lt;&gt;"Terminated"),1,0)</f>
        <v/>
      </c>
      <c r="AH198" s="28">
        <f>IF(AND($A198&lt;&gt;"",COUNTIF($A$6:$A$305,$A198)&gt;1),1,0)</f>
        <v/>
      </c>
      <c r="AI198" s="28">
        <f>IF(AND($A198&lt;&gt;"",$C198="Portfolio"),COUNTIFS($C$6:$C198,"Portfolio",$A$6:$A198,"&lt;&gt;"),"")</f>
        <v/>
      </c>
    </row>
    <row r="199">
      <c r="A199" s="25" t="n"/>
      <c r="B199" s="25" t="n"/>
      <c r="C199" s="25" t="n"/>
      <c r="D199" s="25" t="n"/>
      <c r="E199" s="25" t="n"/>
      <c r="F199" s="25" t="n"/>
      <c r="G199" s="25" t="n"/>
      <c r="H199" s="26" t="n"/>
      <c r="I199" s="26" t="n"/>
      <c r="J199" s="27" t="n"/>
      <c r="K199" s="27" t="n"/>
      <c r="L199" s="23" t="n"/>
      <c r="M199" s="28">
        <f>IF($A199="","",IF($D199="","Not read",IF($Q199=0,"Not counted",IF(MAX($X199,$Y199)=3,"■ Red",IF(MAX($X199,$Y199)=2,"◧ Amber",IF(MAX($X199,$Y199)=1,"□ On track","Not read"))))))</f>
        <v/>
      </c>
      <c r="N199" s="28">
        <f>IF(OR($A199="",$B199&lt;&gt;"Program"),"","■ "&amp;COUNTIFS($C$6:$C$305,$A199,$M$6:$M$305,"■ Red")&amp;" Red, ◧ "&amp;COUNTIFS($C$6:$C$305,$A199,$M$6:$M$305,"◧ Amber")&amp;" Amber")</f>
        <v/>
      </c>
      <c r="O199" s="29">
        <f>IF(OR($A199="",$E199=""),"",COUNTIFS($E$6:$E$305,$E199,$D$6:$D$305,"Active")+COUNTIFS($E$6:$E$305,$E199,$D$6:$D$305,"Paused"))</f>
        <v/>
      </c>
      <c r="P199" s="28">
        <f>IF($A199="","",IF($AE199=0,"○ Clear",IF($AA199=1,"△ No owner",IF($AC199=1,"△ Check Sits under",IF($AC199=2,"△ Outside the portfolio",IF($AB199=1,"△ No sponsor",IF($AH199=1,"△ Name used twice",IF($AG199=1,"△ Budget only counts under Portfolio","△ No variance note"))))))&amp;IF($AE199&gt;1," (+"&amp;($AE199-1)&amp;" more)","")))</f>
        <v/>
      </c>
      <c r="Q199" s="28">
        <f>IF(AND($A199&lt;&gt;"",OR($D199="Active",$D199="Paused")),1,0)</f>
        <v/>
      </c>
      <c r="R199" s="28">
        <f>IFERROR(INDEX($A$6:$A$305,MATCH(192,$S$6:$S$305,0)),"")</f>
        <v/>
      </c>
      <c r="S199" s="28">
        <f>IF(AND($A199&lt;&gt;"",$B199="Program"),COUNTIFS($B$6:$B199,"Program",$A$6:$A199,"&lt;&gt;"),"")</f>
        <v/>
      </c>
      <c r="T199" s="30">
        <f>IF(AND($A199&lt;&gt;"",$B199="Program"),SUMPRODUCT(MAX(($C$6:$C$305=$A199)*($B$6:$B$305="Project")*($D$6:$D$305&lt;&gt;"Proposed")*$I$6:$I$305)),0)</f>
        <v/>
      </c>
      <c r="U199" s="30">
        <f>IF($I199&lt;&gt;"",$I199,IF($T199&gt;0,$T199,""))</f>
        <v/>
      </c>
      <c r="V199" s="28">
        <f>IF(AND($A199&lt;&gt;"",$B199="Program"),SUMIFS($J$6:$J$305,$C$6:$C$305,$A199,$B$6:$B$305,"Project",$D$6:$D$305,"&lt;&gt;Proposed"),0)</f>
        <v/>
      </c>
      <c r="W199" s="28">
        <f>IF(AND($A199&lt;&gt;"",$B199="Program"),COUNTIFS($C$6:$C$305,$A199,$B$6:$B$305,"Project",$D$6:$D$305,"&lt;&gt;Proposed")-COUNTIFS($C$6:$C$305,$A199,$B$6:$B$305,"Project",$D$6:$D$305,"&lt;&gt;Proposed",$J$6:$J$305,"&gt;=0"),0)</f>
        <v/>
      </c>
      <c r="X199" s="28">
        <f>IF(OR($Q199=0,$H199="",$AF199="Sprint"),0,IF(AND($B199="Project",$H199&lt;TODAY()),3,IF($U199="",0,IF($U199&lt;=$H199,1,IF(NETWORKDAYS($H199,$U199)-1&gt;IF($B199="Program",Checks!$B$7,Checks!$B$6),3,2)))))</f>
        <v/>
      </c>
      <c r="Y199" s="28">
        <f>IF(OR($Q199=0,$K199="",$K199=0,$AF199="Sprint"),0,IF(AND($B199="Project",$J199=""),0,IF(IF($B199="Program",$V199,$J199)&gt;$K199*(1+Checks!$B$8),3,IF(IF($B199="Program",$V199,$J199)&gt;$K199,2,IF(AND($B199="Program",OR($W199&gt;0,$V199=0)),0,1)))))</f>
        <v/>
      </c>
      <c r="Z199" s="28">
        <f>IF($A199="",0,IF($C199="Portfolio",1,IF(AND($B199="Project",$C199&lt;&gt;"",$C199&lt;&gt;"Outside the portfolio"),IFERROR(IF(AND(INDEX($B$6:$B$305,MATCH($C199,$A$6:$A$305,0))="Program",INDEX($C$6:$C$305,MATCH($C199,$A$6:$A$305,0))="Portfolio"),1,0),0),0)))</f>
        <v/>
      </c>
      <c r="AA199" s="28">
        <f>IF(AND($A199&lt;&gt;"",$E199="",OR($Q199=1,$D199="Proposed")),1,0)</f>
        <v/>
      </c>
      <c r="AB199" s="28">
        <f>IF(AND($A199&lt;&gt;"",$B199="Program",$F199="",$Q199=1),1,0)</f>
        <v/>
      </c>
      <c r="AC199" s="28">
        <f>IF(OR($A199="",$D199="Completed",$D199="Terminated"),0,IF($C199="",1,IF($C199="Portfolio",0,IF($C199="Outside the portfolio",IF($Q199=1,2,0),IF($B199="Project",IF(IFERROR(INDEX($B$6:$B$305,MATCH($C199,$A$6:$A$305,0)),"")="Program",0,1),1)))))</f>
        <v/>
      </c>
      <c r="AD199" s="28">
        <f>IF(AND($A199&lt;&gt;"",OR($M199="■ Red",$M199="◧ Amber"),$L199=""),1,0)</f>
        <v/>
      </c>
      <c r="AE199" s="28">
        <f>$AA199+$AB199+IF($AC199&gt;0,1,0)+$AD199+$AG199+$AH199</f>
        <v/>
      </c>
      <c r="AF199" s="25" t="n"/>
      <c r="AG199" s="28">
        <f>IF(AND($A199&lt;&gt;"",$K199&lt;&gt;"",$C199&lt;&gt;"Portfolio",$D199&lt;&gt;"Completed",$D199&lt;&gt;"Terminated"),1,0)</f>
        <v/>
      </c>
      <c r="AH199" s="28">
        <f>IF(AND($A199&lt;&gt;"",COUNTIF($A$6:$A$305,$A199)&gt;1),1,0)</f>
        <v/>
      </c>
      <c r="AI199" s="28">
        <f>IF(AND($A199&lt;&gt;"",$C199="Portfolio"),COUNTIFS($C$6:$C199,"Portfolio",$A$6:$A199,"&lt;&gt;"),"")</f>
        <v/>
      </c>
    </row>
    <row r="200">
      <c r="A200" s="25" t="n"/>
      <c r="B200" s="25" t="n"/>
      <c r="C200" s="25" t="n"/>
      <c r="D200" s="25" t="n"/>
      <c r="E200" s="25" t="n"/>
      <c r="F200" s="25" t="n"/>
      <c r="G200" s="25" t="n"/>
      <c r="H200" s="26" t="n"/>
      <c r="I200" s="26" t="n"/>
      <c r="J200" s="27" t="n"/>
      <c r="K200" s="27" t="n"/>
      <c r="L200" s="23" t="n"/>
      <c r="M200" s="28">
        <f>IF($A200="","",IF($D200="","Not read",IF($Q200=0,"Not counted",IF(MAX($X200,$Y200)=3,"■ Red",IF(MAX($X200,$Y200)=2,"◧ Amber",IF(MAX($X200,$Y200)=1,"□ On track","Not read"))))))</f>
        <v/>
      </c>
      <c r="N200" s="28">
        <f>IF(OR($A200="",$B200&lt;&gt;"Program"),"","■ "&amp;COUNTIFS($C$6:$C$305,$A200,$M$6:$M$305,"■ Red")&amp;" Red, ◧ "&amp;COUNTIFS($C$6:$C$305,$A200,$M$6:$M$305,"◧ Amber")&amp;" Amber")</f>
        <v/>
      </c>
      <c r="O200" s="29">
        <f>IF(OR($A200="",$E200=""),"",COUNTIFS($E$6:$E$305,$E200,$D$6:$D$305,"Active")+COUNTIFS($E$6:$E$305,$E200,$D$6:$D$305,"Paused"))</f>
        <v/>
      </c>
      <c r="P200" s="28">
        <f>IF($A200="","",IF($AE200=0,"○ Clear",IF($AA200=1,"△ No owner",IF($AC200=1,"△ Check Sits under",IF($AC200=2,"△ Outside the portfolio",IF($AB200=1,"△ No sponsor",IF($AH200=1,"△ Name used twice",IF($AG200=1,"△ Budget only counts under Portfolio","△ No variance note"))))))&amp;IF($AE200&gt;1," (+"&amp;($AE200-1)&amp;" more)","")))</f>
        <v/>
      </c>
      <c r="Q200" s="28">
        <f>IF(AND($A200&lt;&gt;"",OR($D200="Active",$D200="Paused")),1,0)</f>
        <v/>
      </c>
      <c r="R200" s="28">
        <f>IFERROR(INDEX($A$6:$A$305,MATCH(193,$S$6:$S$305,0)),"")</f>
        <v/>
      </c>
      <c r="S200" s="28">
        <f>IF(AND($A200&lt;&gt;"",$B200="Program"),COUNTIFS($B$6:$B200,"Program",$A$6:$A200,"&lt;&gt;"),"")</f>
        <v/>
      </c>
      <c r="T200" s="30">
        <f>IF(AND($A200&lt;&gt;"",$B200="Program"),SUMPRODUCT(MAX(($C$6:$C$305=$A200)*($B$6:$B$305="Project")*($D$6:$D$305&lt;&gt;"Proposed")*$I$6:$I$305)),0)</f>
        <v/>
      </c>
      <c r="U200" s="30">
        <f>IF($I200&lt;&gt;"",$I200,IF($T200&gt;0,$T200,""))</f>
        <v/>
      </c>
      <c r="V200" s="28">
        <f>IF(AND($A200&lt;&gt;"",$B200="Program"),SUMIFS($J$6:$J$305,$C$6:$C$305,$A200,$B$6:$B$305,"Project",$D$6:$D$305,"&lt;&gt;Proposed"),0)</f>
        <v/>
      </c>
      <c r="W200" s="28">
        <f>IF(AND($A200&lt;&gt;"",$B200="Program"),COUNTIFS($C$6:$C$305,$A200,$B$6:$B$305,"Project",$D$6:$D$305,"&lt;&gt;Proposed")-COUNTIFS($C$6:$C$305,$A200,$B$6:$B$305,"Project",$D$6:$D$305,"&lt;&gt;Proposed",$J$6:$J$305,"&gt;=0"),0)</f>
        <v/>
      </c>
      <c r="X200" s="28">
        <f>IF(OR($Q200=0,$H200="",$AF200="Sprint"),0,IF(AND($B200="Project",$H200&lt;TODAY()),3,IF($U200="",0,IF($U200&lt;=$H200,1,IF(NETWORKDAYS($H200,$U200)-1&gt;IF($B200="Program",Checks!$B$7,Checks!$B$6),3,2)))))</f>
        <v/>
      </c>
      <c r="Y200" s="28">
        <f>IF(OR($Q200=0,$K200="",$K200=0,$AF200="Sprint"),0,IF(AND($B200="Project",$J200=""),0,IF(IF($B200="Program",$V200,$J200)&gt;$K200*(1+Checks!$B$8),3,IF(IF($B200="Program",$V200,$J200)&gt;$K200,2,IF(AND($B200="Program",OR($W200&gt;0,$V200=0)),0,1)))))</f>
        <v/>
      </c>
      <c r="Z200" s="28">
        <f>IF($A200="",0,IF($C200="Portfolio",1,IF(AND($B200="Project",$C200&lt;&gt;"",$C200&lt;&gt;"Outside the portfolio"),IFERROR(IF(AND(INDEX($B$6:$B$305,MATCH($C200,$A$6:$A$305,0))="Program",INDEX($C$6:$C$305,MATCH($C200,$A$6:$A$305,0))="Portfolio"),1,0),0),0)))</f>
        <v/>
      </c>
      <c r="AA200" s="28">
        <f>IF(AND($A200&lt;&gt;"",$E200="",OR($Q200=1,$D200="Proposed")),1,0)</f>
        <v/>
      </c>
      <c r="AB200" s="28">
        <f>IF(AND($A200&lt;&gt;"",$B200="Program",$F200="",$Q200=1),1,0)</f>
        <v/>
      </c>
      <c r="AC200" s="28">
        <f>IF(OR($A200="",$D200="Completed",$D200="Terminated"),0,IF($C200="",1,IF($C200="Portfolio",0,IF($C200="Outside the portfolio",IF($Q200=1,2,0),IF($B200="Project",IF(IFERROR(INDEX($B$6:$B$305,MATCH($C200,$A$6:$A$305,0)),"")="Program",0,1),1)))))</f>
        <v/>
      </c>
      <c r="AD200" s="28">
        <f>IF(AND($A200&lt;&gt;"",OR($M200="■ Red",$M200="◧ Amber"),$L200=""),1,0)</f>
        <v/>
      </c>
      <c r="AE200" s="28">
        <f>$AA200+$AB200+IF($AC200&gt;0,1,0)+$AD200+$AG200+$AH200</f>
        <v/>
      </c>
      <c r="AF200" s="25" t="n"/>
      <c r="AG200" s="28">
        <f>IF(AND($A200&lt;&gt;"",$K200&lt;&gt;"",$C200&lt;&gt;"Portfolio",$D200&lt;&gt;"Completed",$D200&lt;&gt;"Terminated"),1,0)</f>
        <v/>
      </c>
      <c r="AH200" s="28">
        <f>IF(AND($A200&lt;&gt;"",COUNTIF($A$6:$A$305,$A200)&gt;1),1,0)</f>
        <v/>
      </c>
      <c r="AI200" s="28">
        <f>IF(AND($A200&lt;&gt;"",$C200="Portfolio"),COUNTIFS($C$6:$C200,"Portfolio",$A$6:$A200,"&lt;&gt;"),"")</f>
        <v/>
      </c>
    </row>
    <row r="201">
      <c r="A201" s="25" t="n"/>
      <c r="B201" s="25" t="n"/>
      <c r="C201" s="25" t="n"/>
      <c r="D201" s="25" t="n"/>
      <c r="E201" s="25" t="n"/>
      <c r="F201" s="25" t="n"/>
      <c r="G201" s="25" t="n"/>
      <c r="H201" s="26" t="n"/>
      <c r="I201" s="26" t="n"/>
      <c r="J201" s="27" t="n"/>
      <c r="K201" s="27" t="n"/>
      <c r="L201" s="23" t="n"/>
      <c r="M201" s="28">
        <f>IF($A201="","",IF($D201="","Not read",IF($Q201=0,"Not counted",IF(MAX($X201,$Y201)=3,"■ Red",IF(MAX($X201,$Y201)=2,"◧ Amber",IF(MAX($X201,$Y201)=1,"□ On track","Not read"))))))</f>
        <v/>
      </c>
      <c r="N201" s="28">
        <f>IF(OR($A201="",$B201&lt;&gt;"Program"),"","■ "&amp;COUNTIFS($C$6:$C$305,$A201,$M$6:$M$305,"■ Red")&amp;" Red, ◧ "&amp;COUNTIFS($C$6:$C$305,$A201,$M$6:$M$305,"◧ Amber")&amp;" Amber")</f>
        <v/>
      </c>
      <c r="O201" s="29">
        <f>IF(OR($A201="",$E201=""),"",COUNTIFS($E$6:$E$305,$E201,$D$6:$D$305,"Active")+COUNTIFS($E$6:$E$305,$E201,$D$6:$D$305,"Paused"))</f>
        <v/>
      </c>
      <c r="P201" s="28">
        <f>IF($A201="","",IF($AE201=0,"○ Clear",IF($AA201=1,"△ No owner",IF($AC201=1,"△ Check Sits under",IF($AC201=2,"△ Outside the portfolio",IF($AB201=1,"△ No sponsor",IF($AH201=1,"△ Name used twice",IF($AG201=1,"△ Budget only counts under Portfolio","△ No variance note"))))))&amp;IF($AE201&gt;1," (+"&amp;($AE201-1)&amp;" more)","")))</f>
        <v/>
      </c>
      <c r="Q201" s="28">
        <f>IF(AND($A201&lt;&gt;"",OR($D201="Active",$D201="Paused")),1,0)</f>
        <v/>
      </c>
      <c r="R201" s="28">
        <f>IFERROR(INDEX($A$6:$A$305,MATCH(194,$S$6:$S$305,0)),"")</f>
        <v/>
      </c>
      <c r="S201" s="28">
        <f>IF(AND($A201&lt;&gt;"",$B201="Program"),COUNTIFS($B$6:$B201,"Program",$A$6:$A201,"&lt;&gt;"),"")</f>
        <v/>
      </c>
      <c r="T201" s="30">
        <f>IF(AND($A201&lt;&gt;"",$B201="Program"),SUMPRODUCT(MAX(($C$6:$C$305=$A201)*($B$6:$B$305="Project")*($D$6:$D$305&lt;&gt;"Proposed")*$I$6:$I$305)),0)</f>
        <v/>
      </c>
      <c r="U201" s="30">
        <f>IF($I201&lt;&gt;"",$I201,IF($T201&gt;0,$T201,""))</f>
        <v/>
      </c>
      <c r="V201" s="28">
        <f>IF(AND($A201&lt;&gt;"",$B201="Program"),SUMIFS($J$6:$J$305,$C$6:$C$305,$A201,$B$6:$B$305,"Project",$D$6:$D$305,"&lt;&gt;Proposed"),0)</f>
        <v/>
      </c>
      <c r="W201" s="28">
        <f>IF(AND($A201&lt;&gt;"",$B201="Program"),COUNTIFS($C$6:$C$305,$A201,$B$6:$B$305,"Project",$D$6:$D$305,"&lt;&gt;Proposed")-COUNTIFS($C$6:$C$305,$A201,$B$6:$B$305,"Project",$D$6:$D$305,"&lt;&gt;Proposed",$J$6:$J$305,"&gt;=0"),0)</f>
        <v/>
      </c>
      <c r="X201" s="28">
        <f>IF(OR($Q201=0,$H201="",$AF201="Sprint"),0,IF(AND($B201="Project",$H201&lt;TODAY()),3,IF($U201="",0,IF($U201&lt;=$H201,1,IF(NETWORKDAYS($H201,$U201)-1&gt;IF($B201="Program",Checks!$B$7,Checks!$B$6),3,2)))))</f>
        <v/>
      </c>
      <c r="Y201" s="28">
        <f>IF(OR($Q201=0,$K201="",$K201=0,$AF201="Sprint"),0,IF(AND($B201="Project",$J201=""),0,IF(IF($B201="Program",$V201,$J201)&gt;$K201*(1+Checks!$B$8),3,IF(IF($B201="Program",$V201,$J201)&gt;$K201,2,IF(AND($B201="Program",OR($W201&gt;0,$V201=0)),0,1)))))</f>
        <v/>
      </c>
      <c r="Z201" s="28">
        <f>IF($A201="",0,IF($C201="Portfolio",1,IF(AND($B201="Project",$C201&lt;&gt;"",$C201&lt;&gt;"Outside the portfolio"),IFERROR(IF(AND(INDEX($B$6:$B$305,MATCH($C201,$A$6:$A$305,0))="Program",INDEX($C$6:$C$305,MATCH($C201,$A$6:$A$305,0))="Portfolio"),1,0),0),0)))</f>
        <v/>
      </c>
      <c r="AA201" s="28">
        <f>IF(AND($A201&lt;&gt;"",$E201="",OR($Q201=1,$D201="Proposed")),1,0)</f>
        <v/>
      </c>
      <c r="AB201" s="28">
        <f>IF(AND($A201&lt;&gt;"",$B201="Program",$F201="",$Q201=1),1,0)</f>
        <v/>
      </c>
      <c r="AC201" s="28">
        <f>IF(OR($A201="",$D201="Completed",$D201="Terminated"),0,IF($C201="",1,IF($C201="Portfolio",0,IF($C201="Outside the portfolio",IF($Q201=1,2,0),IF($B201="Project",IF(IFERROR(INDEX($B$6:$B$305,MATCH($C201,$A$6:$A$305,0)),"")="Program",0,1),1)))))</f>
        <v/>
      </c>
      <c r="AD201" s="28">
        <f>IF(AND($A201&lt;&gt;"",OR($M201="■ Red",$M201="◧ Amber"),$L201=""),1,0)</f>
        <v/>
      </c>
      <c r="AE201" s="28">
        <f>$AA201+$AB201+IF($AC201&gt;0,1,0)+$AD201+$AG201+$AH201</f>
        <v/>
      </c>
      <c r="AF201" s="25" t="n"/>
      <c r="AG201" s="28">
        <f>IF(AND($A201&lt;&gt;"",$K201&lt;&gt;"",$C201&lt;&gt;"Portfolio",$D201&lt;&gt;"Completed",$D201&lt;&gt;"Terminated"),1,0)</f>
        <v/>
      </c>
      <c r="AH201" s="28">
        <f>IF(AND($A201&lt;&gt;"",COUNTIF($A$6:$A$305,$A201)&gt;1),1,0)</f>
        <v/>
      </c>
      <c r="AI201" s="28">
        <f>IF(AND($A201&lt;&gt;"",$C201="Portfolio"),COUNTIFS($C$6:$C201,"Portfolio",$A$6:$A201,"&lt;&gt;"),"")</f>
        <v/>
      </c>
    </row>
    <row r="202">
      <c r="A202" s="25" t="n"/>
      <c r="B202" s="25" t="n"/>
      <c r="C202" s="25" t="n"/>
      <c r="D202" s="25" t="n"/>
      <c r="E202" s="25" t="n"/>
      <c r="F202" s="25" t="n"/>
      <c r="G202" s="25" t="n"/>
      <c r="H202" s="26" t="n"/>
      <c r="I202" s="26" t="n"/>
      <c r="J202" s="27" t="n"/>
      <c r="K202" s="27" t="n"/>
      <c r="L202" s="23" t="n"/>
      <c r="M202" s="28">
        <f>IF($A202="","",IF($D202="","Not read",IF($Q202=0,"Not counted",IF(MAX($X202,$Y202)=3,"■ Red",IF(MAX($X202,$Y202)=2,"◧ Amber",IF(MAX($X202,$Y202)=1,"□ On track","Not read"))))))</f>
        <v/>
      </c>
      <c r="N202" s="28">
        <f>IF(OR($A202="",$B202&lt;&gt;"Program"),"","■ "&amp;COUNTIFS($C$6:$C$305,$A202,$M$6:$M$305,"■ Red")&amp;" Red, ◧ "&amp;COUNTIFS($C$6:$C$305,$A202,$M$6:$M$305,"◧ Amber")&amp;" Amber")</f>
        <v/>
      </c>
      <c r="O202" s="29">
        <f>IF(OR($A202="",$E202=""),"",COUNTIFS($E$6:$E$305,$E202,$D$6:$D$305,"Active")+COUNTIFS($E$6:$E$305,$E202,$D$6:$D$305,"Paused"))</f>
        <v/>
      </c>
      <c r="P202" s="28">
        <f>IF($A202="","",IF($AE202=0,"○ Clear",IF($AA202=1,"△ No owner",IF($AC202=1,"△ Check Sits under",IF($AC202=2,"△ Outside the portfolio",IF($AB202=1,"△ No sponsor",IF($AH202=1,"△ Name used twice",IF($AG202=1,"△ Budget only counts under Portfolio","△ No variance note"))))))&amp;IF($AE202&gt;1," (+"&amp;($AE202-1)&amp;" more)","")))</f>
        <v/>
      </c>
      <c r="Q202" s="28">
        <f>IF(AND($A202&lt;&gt;"",OR($D202="Active",$D202="Paused")),1,0)</f>
        <v/>
      </c>
      <c r="R202" s="28">
        <f>IFERROR(INDEX($A$6:$A$305,MATCH(195,$S$6:$S$305,0)),"")</f>
        <v/>
      </c>
      <c r="S202" s="28">
        <f>IF(AND($A202&lt;&gt;"",$B202="Program"),COUNTIFS($B$6:$B202,"Program",$A$6:$A202,"&lt;&gt;"),"")</f>
        <v/>
      </c>
      <c r="T202" s="30">
        <f>IF(AND($A202&lt;&gt;"",$B202="Program"),SUMPRODUCT(MAX(($C$6:$C$305=$A202)*($B$6:$B$305="Project")*($D$6:$D$305&lt;&gt;"Proposed")*$I$6:$I$305)),0)</f>
        <v/>
      </c>
      <c r="U202" s="30">
        <f>IF($I202&lt;&gt;"",$I202,IF($T202&gt;0,$T202,""))</f>
        <v/>
      </c>
      <c r="V202" s="28">
        <f>IF(AND($A202&lt;&gt;"",$B202="Program"),SUMIFS($J$6:$J$305,$C$6:$C$305,$A202,$B$6:$B$305,"Project",$D$6:$D$305,"&lt;&gt;Proposed"),0)</f>
        <v/>
      </c>
      <c r="W202" s="28">
        <f>IF(AND($A202&lt;&gt;"",$B202="Program"),COUNTIFS($C$6:$C$305,$A202,$B$6:$B$305,"Project",$D$6:$D$305,"&lt;&gt;Proposed")-COUNTIFS($C$6:$C$305,$A202,$B$6:$B$305,"Project",$D$6:$D$305,"&lt;&gt;Proposed",$J$6:$J$305,"&gt;=0"),0)</f>
        <v/>
      </c>
      <c r="X202" s="28">
        <f>IF(OR($Q202=0,$H202="",$AF202="Sprint"),0,IF(AND($B202="Project",$H202&lt;TODAY()),3,IF($U202="",0,IF($U202&lt;=$H202,1,IF(NETWORKDAYS($H202,$U202)-1&gt;IF($B202="Program",Checks!$B$7,Checks!$B$6),3,2)))))</f>
        <v/>
      </c>
      <c r="Y202" s="28">
        <f>IF(OR($Q202=0,$K202="",$K202=0,$AF202="Sprint"),0,IF(AND($B202="Project",$J202=""),0,IF(IF($B202="Program",$V202,$J202)&gt;$K202*(1+Checks!$B$8),3,IF(IF($B202="Program",$V202,$J202)&gt;$K202,2,IF(AND($B202="Program",OR($W202&gt;0,$V202=0)),0,1)))))</f>
        <v/>
      </c>
      <c r="Z202" s="28">
        <f>IF($A202="",0,IF($C202="Portfolio",1,IF(AND($B202="Project",$C202&lt;&gt;"",$C202&lt;&gt;"Outside the portfolio"),IFERROR(IF(AND(INDEX($B$6:$B$305,MATCH($C202,$A$6:$A$305,0))="Program",INDEX($C$6:$C$305,MATCH($C202,$A$6:$A$305,0))="Portfolio"),1,0),0),0)))</f>
        <v/>
      </c>
      <c r="AA202" s="28">
        <f>IF(AND($A202&lt;&gt;"",$E202="",OR($Q202=1,$D202="Proposed")),1,0)</f>
        <v/>
      </c>
      <c r="AB202" s="28">
        <f>IF(AND($A202&lt;&gt;"",$B202="Program",$F202="",$Q202=1),1,0)</f>
        <v/>
      </c>
      <c r="AC202" s="28">
        <f>IF(OR($A202="",$D202="Completed",$D202="Terminated"),0,IF($C202="",1,IF($C202="Portfolio",0,IF($C202="Outside the portfolio",IF($Q202=1,2,0),IF($B202="Project",IF(IFERROR(INDEX($B$6:$B$305,MATCH($C202,$A$6:$A$305,0)),"")="Program",0,1),1)))))</f>
        <v/>
      </c>
      <c r="AD202" s="28">
        <f>IF(AND($A202&lt;&gt;"",OR($M202="■ Red",$M202="◧ Amber"),$L202=""),1,0)</f>
        <v/>
      </c>
      <c r="AE202" s="28">
        <f>$AA202+$AB202+IF($AC202&gt;0,1,0)+$AD202+$AG202+$AH202</f>
        <v/>
      </c>
      <c r="AF202" s="25" t="n"/>
      <c r="AG202" s="28">
        <f>IF(AND($A202&lt;&gt;"",$K202&lt;&gt;"",$C202&lt;&gt;"Portfolio",$D202&lt;&gt;"Completed",$D202&lt;&gt;"Terminated"),1,0)</f>
        <v/>
      </c>
      <c r="AH202" s="28">
        <f>IF(AND($A202&lt;&gt;"",COUNTIF($A$6:$A$305,$A202)&gt;1),1,0)</f>
        <v/>
      </c>
      <c r="AI202" s="28">
        <f>IF(AND($A202&lt;&gt;"",$C202="Portfolio"),COUNTIFS($C$6:$C202,"Portfolio",$A$6:$A202,"&lt;&gt;"),"")</f>
        <v/>
      </c>
    </row>
    <row r="203">
      <c r="A203" s="25" t="n"/>
      <c r="B203" s="25" t="n"/>
      <c r="C203" s="25" t="n"/>
      <c r="D203" s="25" t="n"/>
      <c r="E203" s="25" t="n"/>
      <c r="F203" s="25" t="n"/>
      <c r="G203" s="25" t="n"/>
      <c r="H203" s="26" t="n"/>
      <c r="I203" s="26" t="n"/>
      <c r="J203" s="27" t="n"/>
      <c r="K203" s="27" t="n"/>
      <c r="L203" s="23" t="n"/>
      <c r="M203" s="28">
        <f>IF($A203="","",IF($D203="","Not read",IF($Q203=0,"Not counted",IF(MAX($X203,$Y203)=3,"■ Red",IF(MAX($X203,$Y203)=2,"◧ Amber",IF(MAX($X203,$Y203)=1,"□ On track","Not read"))))))</f>
        <v/>
      </c>
      <c r="N203" s="28">
        <f>IF(OR($A203="",$B203&lt;&gt;"Program"),"","■ "&amp;COUNTIFS($C$6:$C$305,$A203,$M$6:$M$305,"■ Red")&amp;" Red, ◧ "&amp;COUNTIFS($C$6:$C$305,$A203,$M$6:$M$305,"◧ Amber")&amp;" Amber")</f>
        <v/>
      </c>
      <c r="O203" s="29">
        <f>IF(OR($A203="",$E203=""),"",COUNTIFS($E$6:$E$305,$E203,$D$6:$D$305,"Active")+COUNTIFS($E$6:$E$305,$E203,$D$6:$D$305,"Paused"))</f>
        <v/>
      </c>
      <c r="P203" s="28">
        <f>IF($A203="","",IF($AE203=0,"○ Clear",IF($AA203=1,"△ No owner",IF($AC203=1,"△ Check Sits under",IF($AC203=2,"△ Outside the portfolio",IF($AB203=1,"△ No sponsor",IF($AH203=1,"△ Name used twice",IF($AG203=1,"△ Budget only counts under Portfolio","△ No variance note"))))))&amp;IF($AE203&gt;1," (+"&amp;($AE203-1)&amp;" more)","")))</f>
        <v/>
      </c>
      <c r="Q203" s="28">
        <f>IF(AND($A203&lt;&gt;"",OR($D203="Active",$D203="Paused")),1,0)</f>
        <v/>
      </c>
      <c r="R203" s="28">
        <f>IFERROR(INDEX($A$6:$A$305,MATCH(196,$S$6:$S$305,0)),"")</f>
        <v/>
      </c>
      <c r="S203" s="28">
        <f>IF(AND($A203&lt;&gt;"",$B203="Program"),COUNTIFS($B$6:$B203,"Program",$A$6:$A203,"&lt;&gt;"),"")</f>
        <v/>
      </c>
      <c r="T203" s="30">
        <f>IF(AND($A203&lt;&gt;"",$B203="Program"),SUMPRODUCT(MAX(($C$6:$C$305=$A203)*($B$6:$B$305="Project")*($D$6:$D$305&lt;&gt;"Proposed")*$I$6:$I$305)),0)</f>
        <v/>
      </c>
      <c r="U203" s="30">
        <f>IF($I203&lt;&gt;"",$I203,IF($T203&gt;0,$T203,""))</f>
        <v/>
      </c>
      <c r="V203" s="28">
        <f>IF(AND($A203&lt;&gt;"",$B203="Program"),SUMIFS($J$6:$J$305,$C$6:$C$305,$A203,$B$6:$B$305,"Project",$D$6:$D$305,"&lt;&gt;Proposed"),0)</f>
        <v/>
      </c>
      <c r="W203" s="28">
        <f>IF(AND($A203&lt;&gt;"",$B203="Program"),COUNTIFS($C$6:$C$305,$A203,$B$6:$B$305,"Project",$D$6:$D$305,"&lt;&gt;Proposed")-COUNTIFS($C$6:$C$305,$A203,$B$6:$B$305,"Project",$D$6:$D$305,"&lt;&gt;Proposed",$J$6:$J$305,"&gt;=0"),0)</f>
        <v/>
      </c>
      <c r="X203" s="28">
        <f>IF(OR($Q203=0,$H203="",$AF203="Sprint"),0,IF(AND($B203="Project",$H203&lt;TODAY()),3,IF($U203="",0,IF($U203&lt;=$H203,1,IF(NETWORKDAYS($H203,$U203)-1&gt;IF($B203="Program",Checks!$B$7,Checks!$B$6),3,2)))))</f>
        <v/>
      </c>
      <c r="Y203" s="28">
        <f>IF(OR($Q203=0,$K203="",$K203=0,$AF203="Sprint"),0,IF(AND($B203="Project",$J203=""),0,IF(IF($B203="Program",$V203,$J203)&gt;$K203*(1+Checks!$B$8),3,IF(IF($B203="Program",$V203,$J203)&gt;$K203,2,IF(AND($B203="Program",OR($W203&gt;0,$V203=0)),0,1)))))</f>
        <v/>
      </c>
      <c r="Z203" s="28">
        <f>IF($A203="",0,IF($C203="Portfolio",1,IF(AND($B203="Project",$C203&lt;&gt;"",$C203&lt;&gt;"Outside the portfolio"),IFERROR(IF(AND(INDEX($B$6:$B$305,MATCH($C203,$A$6:$A$305,0))="Program",INDEX($C$6:$C$305,MATCH($C203,$A$6:$A$305,0))="Portfolio"),1,0),0),0)))</f>
        <v/>
      </c>
      <c r="AA203" s="28">
        <f>IF(AND($A203&lt;&gt;"",$E203="",OR($Q203=1,$D203="Proposed")),1,0)</f>
        <v/>
      </c>
      <c r="AB203" s="28">
        <f>IF(AND($A203&lt;&gt;"",$B203="Program",$F203="",$Q203=1),1,0)</f>
        <v/>
      </c>
      <c r="AC203" s="28">
        <f>IF(OR($A203="",$D203="Completed",$D203="Terminated"),0,IF($C203="",1,IF($C203="Portfolio",0,IF($C203="Outside the portfolio",IF($Q203=1,2,0),IF($B203="Project",IF(IFERROR(INDEX($B$6:$B$305,MATCH($C203,$A$6:$A$305,0)),"")="Program",0,1),1)))))</f>
        <v/>
      </c>
      <c r="AD203" s="28">
        <f>IF(AND($A203&lt;&gt;"",OR($M203="■ Red",$M203="◧ Amber"),$L203=""),1,0)</f>
        <v/>
      </c>
      <c r="AE203" s="28">
        <f>$AA203+$AB203+IF($AC203&gt;0,1,0)+$AD203+$AG203+$AH203</f>
        <v/>
      </c>
      <c r="AF203" s="25" t="n"/>
      <c r="AG203" s="28">
        <f>IF(AND($A203&lt;&gt;"",$K203&lt;&gt;"",$C203&lt;&gt;"Portfolio",$D203&lt;&gt;"Completed",$D203&lt;&gt;"Terminated"),1,0)</f>
        <v/>
      </c>
      <c r="AH203" s="28">
        <f>IF(AND($A203&lt;&gt;"",COUNTIF($A$6:$A$305,$A203)&gt;1),1,0)</f>
        <v/>
      </c>
      <c r="AI203" s="28">
        <f>IF(AND($A203&lt;&gt;"",$C203="Portfolio"),COUNTIFS($C$6:$C203,"Portfolio",$A$6:$A203,"&lt;&gt;"),"")</f>
        <v/>
      </c>
    </row>
    <row r="204">
      <c r="A204" s="25" t="n"/>
      <c r="B204" s="25" t="n"/>
      <c r="C204" s="25" t="n"/>
      <c r="D204" s="25" t="n"/>
      <c r="E204" s="25" t="n"/>
      <c r="F204" s="25" t="n"/>
      <c r="G204" s="25" t="n"/>
      <c r="H204" s="26" t="n"/>
      <c r="I204" s="26" t="n"/>
      <c r="J204" s="27" t="n"/>
      <c r="K204" s="27" t="n"/>
      <c r="L204" s="23" t="n"/>
      <c r="M204" s="28">
        <f>IF($A204="","",IF($D204="","Not read",IF($Q204=0,"Not counted",IF(MAX($X204,$Y204)=3,"■ Red",IF(MAX($X204,$Y204)=2,"◧ Amber",IF(MAX($X204,$Y204)=1,"□ On track","Not read"))))))</f>
        <v/>
      </c>
      <c r="N204" s="28">
        <f>IF(OR($A204="",$B204&lt;&gt;"Program"),"","■ "&amp;COUNTIFS($C$6:$C$305,$A204,$M$6:$M$305,"■ Red")&amp;" Red, ◧ "&amp;COUNTIFS($C$6:$C$305,$A204,$M$6:$M$305,"◧ Amber")&amp;" Amber")</f>
        <v/>
      </c>
      <c r="O204" s="29">
        <f>IF(OR($A204="",$E204=""),"",COUNTIFS($E$6:$E$305,$E204,$D$6:$D$305,"Active")+COUNTIFS($E$6:$E$305,$E204,$D$6:$D$305,"Paused"))</f>
        <v/>
      </c>
      <c r="P204" s="28">
        <f>IF($A204="","",IF($AE204=0,"○ Clear",IF($AA204=1,"△ No owner",IF($AC204=1,"△ Check Sits under",IF($AC204=2,"△ Outside the portfolio",IF($AB204=1,"△ No sponsor",IF($AH204=1,"△ Name used twice",IF($AG204=1,"△ Budget only counts under Portfolio","△ No variance note"))))))&amp;IF($AE204&gt;1," (+"&amp;($AE204-1)&amp;" more)","")))</f>
        <v/>
      </c>
      <c r="Q204" s="28">
        <f>IF(AND($A204&lt;&gt;"",OR($D204="Active",$D204="Paused")),1,0)</f>
        <v/>
      </c>
      <c r="R204" s="28">
        <f>IFERROR(INDEX($A$6:$A$305,MATCH(197,$S$6:$S$305,0)),"")</f>
        <v/>
      </c>
      <c r="S204" s="28">
        <f>IF(AND($A204&lt;&gt;"",$B204="Program"),COUNTIFS($B$6:$B204,"Program",$A$6:$A204,"&lt;&gt;"),"")</f>
        <v/>
      </c>
      <c r="T204" s="30">
        <f>IF(AND($A204&lt;&gt;"",$B204="Program"),SUMPRODUCT(MAX(($C$6:$C$305=$A204)*($B$6:$B$305="Project")*($D$6:$D$305&lt;&gt;"Proposed")*$I$6:$I$305)),0)</f>
        <v/>
      </c>
      <c r="U204" s="30">
        <f>IF($I204&lt;&gt;"",$I204,IF($T204&gt;0,$T204,""))</f>
        <v/>
      </c>
      <c r="V204" s="28">
        <f>IF(AND($A204&lt;&gt;"",$B204="Program"),SUMIFS($J$6:$J$305,$C$6:$C$305,$A204,$B$6:$B$305,"Project",$D$6:$D$305,"&lt;&gt;Proposed"),0)</f>
        <v/>
      </c>
      <c r="W204" s="28">
        <f>IF(AND($A204&lt;&gt;"",$B204="Program"),COUNTIFS($C$6:$C$305,$A204,$B$6:$B$305,"Project",$D$6:$D$305,"&lt;&gt;Proposed")-COUNTIFS($C$6:$C$305,$A204,$B$6:$B$305,"Project",$D$6:$D$305,"&lt;&gt;Proposed",$J$6:$J$305,"&gt;=0"),0)</f>
        <v/>
      </c>
      <c r="X204" s="28">
        <f>IF(OR($Q204=0,$H204="",$AF204="Sprint"),0,IF(AND($B204="Project",$H204&lt;TODAY()),3,IF($U204="",0,IF($U204&lt;=$H204,1,IF(NETWORKDAYS($H204,$U204)-1&gt;IF($B204="Program",Checks!$B$7,Checks!$B$6),3,2)))))</f>
        <v/>
      </c>
      <c r="Y204" s="28">
        <f>IF(OR($Q204=0,$K204="",$K204=0,$AF204="Sprint"),0,IF(AND($B204="Project",$J204=""),0,IF(IF($B204="Program",$V204,$J204)&gt;$K204*(1+Checks!$B$8),3,IF(IF($B204="Program",$V204,$J204)&gt;$K204,2,IF(AND($B204="Program",OR($W204&gt;0,$V204=0)),0,1)))))</f>
        <v/>
      </c>
      <c r="Z204" s="28">
        <f>IF($A204="",0,IF($C204="Portfolio",1,IF(AND($B204="Project",$C204&lt;&gt;"",$C204&lt;&gt;"Outside the portfolio"),IFERROR(IF(AND(INDEX($B$6:$B$305,MATCH($C204,$A$6:$A$305,0))="Program",INDEX($C$6:$C$305,MATCH($C204,$A$6:$A$305,0))="Portfolio"),1,0),0),0)))</f>
        <v/>
      </c>
      <c r="AA204" s="28">
        <f>IF(AND($A204&lt;&gt;"",$E204="",OR($Q204=1,$D204="Proposed")),1,0)</f>
        <v/>
      </c>
      <c r="AB204" s="28">
        <f>IF(AND($A204&lt;&gt;"",$B204="Program",$F204="",$Q204=1),1,0)</f>
        <v/>
      </c>
      <c r="AC204" s="28">
        <f>IF(OR($A204="",$D204="Completed",$D204="Terminated"),0,IF($C204="",1,IF($C204="Portfolio",0,IF($C204="Outside the portfolio",IF($Q204=1,2,0),IF($B204="Project",IF(IFERROR(INDEX($B$6:$B$305,MATCH($C204,$A$6:$A$305,0)),"")="Program",0,1),1)))))</f>
        <v/>
      </c>
      <c r="AD204" s="28">
        <f>IF(AND($A204&lt;&gt;"",OR($M204="■ Red",$M204="◧ Amber"),$L204=""),1,0)</f>
        <v/>
      </c>
      <c r="AE204" s="28">
        <f>$AA204+$AB204+IF($AC204&gt;0,1,0)+$AD204+$AG204+$AH204</f>
        <v/>
      </c>
      <c r="AF204" s="25" t="n"/>
      <c r="AG204" s="28">
        <f>IF(AND($A204&lt;&gt;"",$K204&lt;&gt;"",$C204&lt;&gt;"Portfolio",$D204&lt;&gt;"Completed",$D204&lt;&gt;"Terminated"),1,0)</f>
        <v/>
      </c>
      <c r="AH204" s="28">
        <f>IF(AND($A204&lt;&gt;"",COUNTIF($A$6:$A$305,$A204)&gt;1),1,0)</f>
        <v/>
      </c>
      <c r="AI204" s="28">
        <f>IF(AND($A204&lt;&gt;"",$C204="Portfolio"),COUNTIFS($C$6:$C204,"Portfolio",$A$6:$A204,"&lt;&gt;"),"")</f>
        <v/>
      </c>
    </row>
    <row r="205">
      <c r="A205" s="25" t="n"/>
      <c r="B205" s="25" t="n"/>
      <c r="C205" s="25" t="n"/>
      <c r="D205" s="25" t="n"/>
      <c r="E205" s="25" t="n"/>
      <c r="F205" s="25" t="n"/>
      <c r="G205" s="25" t="n"/>
      <c r="H205" s="26" t="n"/>
      <c r="I205" s="26" t="n"/>
      <c r="J205" s="27" t="n"/>
      <c r="K205" s="27" t="n"/>
      <c r="L205" s="23" t="n"/>
      <c r="M205" s="28">
        <f>IF($A205="","",IF($D205="","Not read",IF($Q205=0,"Not counted",IF(MAX($X205,$Y205)=3,"■ Red",IF(MAX($X205,$Y205)=2,"◧ Amber",IF(MAX($X205,$Y205)=1,"□ On track","Not read"))))))</f>
        <v/>
      </c>
      <c r="N205" s="28">
        <f>IF(OR($A205="",$B205&lt;&gt;"Program"),"","■ "&amp;COUNTIFS($C$6:$C$305,$A205,$M$6:$M$305,"■ Red")&amp;" Red, ◧ "&amp;COUNTIFS($C$6:$C$305,$A205,$M$6:$M$305,"◧ Amber")&amp;" Amber")</f>
        <v/>
      </c>
      <c r="O205" s="29">
        <f>IF(OR($A205="",$E205=""),"",COUNTIFS($E$6:$E$305,$E205,$D$6:$D$305,"Active")+COUNTIFS($E$6:$E$305,$E205,$D$6:$D$305,"Paused"))</f>
        <v/>
      </c>
      <c r="P205" s="28">
        <f>IF($A205="","",IF($AE205=0,"○ Clear",IF($AA205=1,"△ No owner",IF($AC205=1,"△ Check Sits under",IF($AC205=2,"△ Outside the portfolio",IF($AB205=1,"△ No sponsor",IF($AH205=1,"△ Name used twice",IF($AG205=1,"△ Budget only counts under Portfolio","△ No variance note"))))))&amp;IF($AE205&gt;1," (+"&amp;($AE205-1)&amp;" more)","")))</f>
        <v/>
      </c>
      <c r="Q205" s="28">
        <f>IF(AND($A205&lt;&gt;"",OR($D205="Active",$D205="Paused")),1,0)</f>
        <v/>
      </c>
      <c r="R205" s="28">
        <f>IFERROR(INDEX($A$6:$A$305,MATCH(198,$S$6:$S$305,0)),"")</f>
        <v/>
      </c>
      <c r="S205" s="28">
        <f>IF(AND($A205&lt;&gt;"",$B205="Program"),COUNTIFS($B$6:$B205,"Program",$A$6:$A205,"&lt;&gt;"),"")</f>
        <v/>
      </c>
      <c r="T205" s="30">
        <f>IF(AND($A205&lt;&gt;"",$B205="Program"),SUMPRODUCT(MAX(($C$6:$C$305=$A205)*($B$6:$B$305="Project")*($D$6:$D$305&lt;&gt;"Proposed")*$I$6:$I$305)),0)</f>
        <v/>
      </c>
      <c r="U205" s="30">
        <f>IF($I205&lt;&gt;"",$I205,IF($T205&gt;0,$T205,""))</f>
        <v/>
      </c>
      <c r="V205" s="28">
        <f>IF(AND($A205&lt;&gt;"",$B205="Program"),SUMIFS($J$6:$J$305,$C$6:$C$305,$A205,$B$6:$B$305,"Project",$D$6:$D$305,"&lt;&gt;Proposed"),0)</f>
        <v/>
      </c>
      <c r="W205" s="28">
        <f>IF(AND($A205&lt;&gt;"",$B205="Program"),COUNTIFS($C$6:$C$305,$A205,$B$6:$B$305,"Project",$D$6:$D$305,"&lt;&gt;Proposed")-COUNTIFS($C$6:$C$305,$A205,$B$6:$B$305,"Project",$D$6:$D$305,"&lt;&gt;Proposed",$J$6:$J$305,"&gt;=0"),0)</f>
        <v/>
      </c>
      <c r="X205" s="28">
        <f>IF(OR($Q205=0,$H205="",$AF205="Sprint"),0,IF(AND($B205="Project",$H205&lt;TODAY()),3,IF($U205="",0,IF($U205&lt;=$H205,1,IF(NETWORKDAYS($H205,$U205)-1&gt;IF($B205="Program",Checks!$B$7,Checks!$B$6),3,2)))))</f>
        <v/>
      </c>
      <c r="Y205" s="28">
        <f>IF(OR($Q205=0,$K205="",$K205=0,$AF205="Sprint"),0,IF(AND($B205="Project",$J205=""),0,IF(IF($B205="Program",$V205,$J205)&gt;$K205*(1+Checks!$B$8),3,IF(IF($B205="Program",$V205,$J205)&gt;$K205,2,IF(AND($B205="Program",OR($W205&gt;0,$V205=0)),0,1)))))</f>
        <v/>
      </c>
      <c r="Z205" s="28">
        <f>IF($A205="",0,IF($C205="Portfolio",1,IF(AND($B205="Project",$C205&lt;&gt;"",$C205&lt;&gt;"Outside the portfolio"),IFERROR(IF(AND(INDEX($B$6:$B$305,MATCH($C205,$A$6:$A$305,0))="Program",INDEX($C$6:$C$305,MATCH($C205,$A$6:$A$305,0))="Portfolio"),1,0),0),0)))</f>
        <v/>
      </c>
      <c r="AA205" s="28">
        <f>IF(AND($A205&lt;&gt;"",$E205="",OR($Q205=1,$D205="Proposed")),1,0)</f>
        <v/>
      </c>
      <c r="AB205" s="28">
        <f>IF(AND($A205&lt;&gt;"",$B205="Program",$F205="",$Q205=1),1,0)</f>
        <v/>
      </c>
      <c r="AC205" s="28">
        <f>IF(OR($A205="",$D205="Completed",$D205="Terminated"),0,IF($C205="",1,IF($C205="Portfolio",0,IF($C205="Outside the portfolio",IF($Q205=1,2,0),IF($B205="Project",IF(IFERROR(INDEX($B$6:$B$305,MATCH($C205,$A$6:$A$305,0)),"")="Program",0,1),1)))))</f>
        <v/>
      </c>
      <c r="AD205" s="28">
        <f>IF(AND($A205&lt;&gt;"",OR($M205="■ Red",$M205="◧ Amber"),$L205=""),1,0)</f>
        <v/>
      </c>
      <c r="AE205" s="28">
        <f>$AA205+$AB205+IF($AC205&gt;0,1,0)+$AD205+$AG205+$AH205</f>
        <v/>
      </c>
      <c r="AF205" s="25" t="n"/>
      <c r="AG205" s="28">
        <f>IF(AND($A205&lt;&gt;"",$K205&lt;&gt;"",$C205&lt;&gt;"Portfolio",$D205&lt;&gt;"Completed",$D205&lt;&gt;"Terminated"),1,0)</f>
        <v/>
      </c>
      <c r="AH205" s="28">
        <f>IF(AND($A205&lt;&gt;"",COUNTIF($A$6:$A$305,$A205)&gt;1),1,0)</f>
        <v/>
      </c>
      <c r="AI205" s="28">
        <f>IF(AND($A205&lt;&gt;"",$C205="Portfolio"),COUNTIFS($C$6:$C205,"Portfolio",$A$6:$A205,"&lt;&gt;"),"")</f>
        <v/>
      </c>
    </row>
    <row r="206">
      <c r="A206" s="25" t="n"/>
      <c r="B206" s="25" t="n"/>
      <c r="C206" s="25" t="n"/>
      <c r="D206" s="25" t="n"/>
      <c r="E206" s="25" t="n"/>
      <c r="F206" s="25" t="n"/>
      <c r="G206" s="25" t="n"/>
      <c r="H206" s="26" t="n"/>
      <c r="I206" s="26" t="n"/>
      <c r="J206" s="27" t="n"/>
      <c r="K206" s="27" t="n"/>
      <c r="L206" s="23" t="n"/>
      <c r="M206" s="28">
        <f>IF($A206="","",IF($D206="","Not read",IF($Q206=0,"Not counted",IF(MAX($X206,$Y206)=3,"■ Red",IF(MAX($X206,$Y206)=2,"◧ Amber",IF(MAX($X206,$Y206)=1,"□ On track","Not read"))))))</f>
        <v/>
      </c>
      <c r="N206" s="28">
        <f>IF(OR($A206="",$B206&lt;&gt;"Program"),"","■ "&amp;COUNTIFS($C$6:$C$305,$A206,$M$6:$M$305,"■ Red")&amp;" Red, ◧ "&amp;COUNTIFS($C$6:$C$305,$A206,$M$6:$M$305,"◧ Amber")&amp;" Amber")</f>
        <v/>
      </c>
      <c r="O206" s="29">
        <f>IF(OR($A206="",$E206=""),"",COUNTIFS($E$6:$E$305,$E206,$D$6:$D$305,"Active")+COUNTIFS($E$6:$E$305,$E206,$D$6:$D$305,"Paused"))</f>
        <v/>
      </c>
      <c r="P206" s="28">
        <f>IF($A206="","",IF($AE206=0,"○ Clear",IF($AA206=1,"△ No owner",IF($AC206=1,"△ Check Sits under",IF($AC206=2,"△ Outside the portfolio",IF($AB206=1,"△ No sponsor",IF($AH206=1,"△ Name used twice",IF($AG206=1,"△ Budget only counts under Portfolio","△ No variance note"))))))&amp;IF($AE206&gt;1," (+"&amp;($AE206-1)&amp;" more)","")))</f>
        <v/>
      </c>
      <c r="Q206" s="28">
        <f>IF(AND($A206&lt;&gt;"",OR($D206="Active",$D206="Paused")),1,0)</f>
        <v/>
      </c>
      <c r="R206" s="28">
        <f>IFERROR(INDEX($A$6:$A$305,MATCH(199,$S$6:$S$305,0)),"")</f>
        <v/>
      </c>
      <c r="S206" s="28">
        <f>IF(AND($A206&lt;&gt;"",$B206="Program"),COUNTIFS($B$6:$B206,"Program",$A$6:$A206,"&lt;&gt;"),"")</f>
        <v/>
      </c>
      <c r="T206" s="30">
        <f>IF(AND($A206&lt;&gt;"",$B206="Program"),SUMPRODUCT(MAX(($C$6:$C$305=$A206)*($B$6:$B$305="Project")*($D$6:$D$305&lt;&gt;"Proposed")*$I$6:$I$305)),0)</f>
        <v/>
      </c>
      <c r="U206" s="30">
        <f>IF($I206&lt;&gt;"",$I206,IF($T206&gt;0,$T206,""))</f>
        <v/>
      </c>
      <c r="V206" s="28">
        <f>IF(AND($A206&lt;&gt;"",$B206="Program"),SUMIFS($J$6:$J$305,$C$6:$C$305,$A206,$B$6:$B$305,"Project",$D$6:$D$305,"&lt;&gt;Proposed"),0)</f>
        <v/>
      </c>
      <c r="W206" s="28">
        <f>IF(AND($A206&lt;&gt;"",$B206="Program"),COUNTIFS($C$6:$C$305,$A206,$B$6:$B$305,"Project",$D$6:$D$305,"&lt;&gt;Proposed")-COUNTIFS($C$6:$C$305,$A206,$B$6:$B$305,"Project",$D$6:$D$305,"&lt;&gt;Proposed",$J$6:$J$305,"&gt;=0"),0)</f>
        <v/>
      </c>
      <c r="X206" s="28">
        <f>IF(OR($Q206=0,$H206="",$AF206="Sprint"),0,IF(AND($B206="Project",$H206&lt;TODAY()),3,IF($U206="",0,IF($U206&lt;=$H206,1,IF(NETWORKDAYS($H206,$U206)-1&gt;IF($B206="Program",Checks!$B$7,Checks!$B$6),3,2)))))</f>
        <v/>
      </c>
      <c r="Y206" s="28">
        <f>IF(OR($Q206=0,$K206="",$K206=0,$AF206="Sprint"),0,IF(AND($B206="Project",$J206=""),0,IF(IF($B206="Program",$V206,$J206)&gt;$K206*(1+Checks!$B$8),3,IF(IF($B206="Program",$V206,$J206)&gt;$K206,2,IF(AND($B206="Program",OR($W206&gt;0,$V206=0)),0,1)))))</f>
        <v/>
      </c>
      <c r="Z206" s="28">
        <f>IF($A206="",0,IF($C206="Portfolio",1,IF(AND($B206="Project",$C206&lt;&gt;"",$C206&lt;&gt;"Outside the portfolio"),IFERROR(IF(AND(INDEX($B$6:$B$305,MATCH($C206,$A$6:$A$305,0))="Program",INDEX($C$6:$C$305,MATCH($C206,$A$6:$A$305,0))="Portfolio"),1,0),0),0)))</f>
        <v/>
      </c>
      <c r="AA206" s="28">
        <f>IF(AND($A206&lt;&gt;"",$E206="",OR($Q206=1,$D206="Proposed")),1,0)</f>
        <v/>
      </c>
      <c r="AB206" s="28">
        <f>IF(AND($A206&lt;&gt;"",$B206="Program",$F206="",$Q206=1),1,0)</f>
        <v/>
      </c>
      <c r="AC206" s="28">
        <f>IF(OR($A206="",$D206="Completed",$D206="Terminated"),0,IF($C206="",1,IF($C206="Portfolio",0,IF($C206="Outside the portfolio",IF($Q206=1,2,0),IF($B206="Project",IF(IFERROR(INDEX($B$6:$B$305,MATCH($C206,$A$6:$A$305,0)),"")="Program",0,1),1)))))</f>
        <v/>
      </c>
      <c r="AD206" s="28">
        <f>IF(AND($A206&lt;&gt;"",OR($M206="■ Red",$M206="◧ Amber"),$L206=""),1,0)</f>
        <v/>
      </c>
      <c r="AE206" s="28">
        <f>$AA206+$AB206+IF($AC206&gt;0,1,0)+$AD206+$AG206+$AH206</f>
        <v/>
      </c>
      <c r="AF206" s="25" t="n"/>
      <c r="AG206" s="28">
        <f>IF(AND($A206&lt;&gt;"",$K206&lt;&gt;"",$C206&lt;&gt;"Portfolio",$D206&lt;&gt;"Completed",$D206&lt;&gt;"Terminated"),1,0)</f>
        <v/>
      </c>
      <c r="AH206" s="28">
        <f>IF(AND($A206&lt;&gt;"",COUNTIF($A$6:$A$305,$A206)&gt;1),1,0)</f>
        <v/>
      </c>
      <c r="AI206" s="28">
        <f>IF(AND($A206&lt;&gt;"",$C206="Portfolio"),COUNTIFS($C$6:$C206,"Portfolio",$A$6:$A206,"&lt;&gt;"),"")</f>
        <v/>
      </c>
    </row>
    <row r="207">
      <c r="A207" s="25" t="n"/>
      <c r="B207" s="25" t="n"/>
      <c r="C207" s="25" t="n"/>
      <c r="D207" s="25" t="n"/>
      <c r="E207" s="25" t="n"/>
      <c r="F207" s="25" t="n"/>
      <c r="G207" s="25" t="n"/>
      <c r="H207" s="26" t="n"/>
      <c r="I207" s="26" t="n"/>
      <c r="J207" s="27" t="n"/>
      <c r="K207" s="27" t="n"/>
      <c r="L207" s="23" t="n"/>
      <c r="M207" s="28">
        <f>IF($A207="","",IF($D207="","Not read",IF($Q207=0,"Not counted",IF(MAX($X207,$Y207)=3,"■ Red",IF(MAX($X207,$Y207)=2,"◧ Amber",IF(MAX($X207,$Y207)=1,"□ On track","Not read"))))))</f>
        <v/>
      </c>
      <c r="N207" s="28">
        <f>IF(OR($A207="",$B207&lt;&gt;"Program"),"","■ "&amp;COUNTIFS($C$6:$C$305,$A207,$M$6:$M$305,"■ Red")&amp;" Red, ◧ "&amp;COUNTIFS($C$6:$C$305,$A207,$M$6:$M$305,"◧ Amber")&amp;" Amber")</f>
        <v/>
      </c>
      <c r="O207" s="29">
        <f>IF(OR($A207="",$E207=""),"",COUNTIFS($E$6:$E$305,$E207,$D$6:$D$305,"Active")+COUNTIFS($E$6:$E$305,$E207,$D$6:$D$305,"Paused"))</f>
        <v/>
      </c>
      <c r="P207" s="28">
        <f>IF($A207="","",IF($AE207=0,"○ Clear",IF($AA207=1,"△ No owner",IF($AC207=1,"△ Check Sits under",IF($AC207=2,"△ Outside the portfolio",IF($AB207=1,"△ No sponsor",IF($AH207=1,"△ Name used twice",IF($AG207=1,"△ Budget only counts under Portfolio","△ No variance note"))))))&amp;IF($AE207&gt;1," (+"&amp;($AE207-1)&amp;" more)","")))</f>
        <v/>
      </c>
      <c r="Q207" s="28">
        <f>IF(AND($A207&lt;&gt;"",OR($D207="Active",$D207="Paused")),1,0)</f>
        <v/>
      </c>
      <c r="R207" s="28">
        <f>IFERROR(INDEX($A$6:$A$305,MATCH(200,$S$6:$S$305,0)),"")</f>
        <v/>
      </c>
      <c r="S207" s="28">
        <f>IF(AND($A207&lt;&gt;"",$B207="Program"),COUNTIFS($B$6:$B207,"Program",$A$6:$A207,"&lt;&gt;"),"")</f>
        <v/>
      </c>
      <c r="T207" s="30">
        <f>IF(AND($A207&lt;&gt;"",$B207="Program"),SUMPRODUCT(MAX(($C$6:$C$305=$A207)*($B$6:$B$305="Project")*($D$6:$D$305&lt;&gt;"Proposed")*$I$6:$I$305)),0)</f>
        <v/>
      </c>
      <c r="U207" s="30">
        <f>IF($I207&lt;&gt;"",$I207,IF($T207&gt;0,$T207,""))</f>
        <v/>
      </c>
      <c r="V207" s="28">
        <f>IF(AND($A207&lt;&gt;"",$B207="Program"),SUMIFS($J$6:$J$305,$C$6:$C$305,$A207,$B$6:$B$305,"Project",$D$6:$D$305,"&lt;&gt;Proposed"),0)</f>
        <v/>
      </c>
      <c r="W207" s="28">
        <f>IF(AND($A207&lt;&gt;"",$B207="Program"),COUNTIFS($C$6:$C$305,$A207,$B$6:$B$305,"Project",$D$6:$D$305,"&lt;&gt;Proposed")-COUNTIFS($C$6:$C$305,$A207,$B$6:$B$305,"Project",$D$6:$D$305,"&lt;&gt;Proposed",$J$6:$J$305,"&gt;=0"),0)</f>
        <v/>
      </c>
      <c r="X207" s="28">
        <f>IF(OR($Q207=0,$H207="",$AF207="Sprint"),0,IF(AND($B207="Project",$H207&lt;TODAY()),3,IF($U207="",0,IF($U207&lt;=$H207,1,IF(NETWORKDAYS($H207,$U207)-1&gt;IF($B207="Program",Checks!$B$7,Checks!$B$6),3,2)))))</f>
        <v/>
      </c>
      <c r="Y207" s="28">
        <f>IF(OR($Q207=0,$K207="",$K207=0,$AF207="Sprint"),0,IF(AND($B207="Project",$J207=""),0,IF(IF($B207="Program",$V207,$J207)&gt;$K207*(1+Checks!$B$8),3,IF(IF($B207="Program",$V207,$J207)&gt;$K207,2,IF(AND($B207="Program",OR($W207&gt;0,$V207=0)),0,1)))))</f>
        <v/>
      </c>
      <c r="Z207" s="28">
        <f>IF($A207="",0,IF($C207="Portfolio",1,IF(AND($B207="Project",$C207&lt;&gt;"",$C207&lt;&gt;"Outside the portfolio"),IFERROR(IF(AND(INDEX($B$6:$B$305,MATCH($C207,$A$6:$A$305,0))="Program",INDEX($C$6:$C$305,MATCH($C207,$A$6:$A$305,0))="Portfolio"),1,0),0),0)))</f>
        <v/>
      </c>
      <c r="AA207" s="28">
        <f>IF(AND($A207&lt;&gt;"",$E207="",OR($Q207=1,$D207="Proposed")),1,0)</f>
        <v/>
      </c>
      <c r="AB207" s="28">
        <f>IF(AND($A207&lt;&gt;"",$B207="Program",$F207="",$Q207=1),1,0)</f>
        <v/>
      </c>
      <c r="AC207" s="28">
        <f>IF(OR($A207="",$D207="Completed",$D207="Terminated"),0,IF($C207="",1,IF($C207="Portfolio",0,IF($C207="Outside the portfolio",IF($Q207=1,2,0),IF($B207="Project",IF(IFERROR(INDEX($B$6:$B$305,MATCH($C207,$A$6:$A$305,0)),"")="Program",0,1),1)))))</f>
        <v/>
      </c>
      <c r="AD207" s="28">
        <f>IF(AND($A207&lt;&gt;"",OR($M207="■ Red",$M207="◧ Amber"),$L207=""),1,0)</f>
        <v/>
      </c>
      <c r="AE207" s="28">
        <f>$AA207+$AB207+IF($AC207&gt;0,1,0)+$AD207+$AG207+$AH207</f>
        <v/>
      </c>
      <c r="AF207" s="25" t="n"/>
      <c r="AG207" s="28">
        <f>IF(AND($A207&lt;&gt;"",$K207&lt;&gt;"",$C207&lt;&gt;"Portfolio",$D207&lt;&gt;"Completed",$D207&lt;&gt;"Terminated"),1,0)</f>
        <v/>
      </c>
      <c r="AH207" s="28">
        <f>IF(AND($A207&lt;&gt;"",COUNTIF($A$6:$A$305,$A207)&gt;1),1,0)</f>
        <v/>
      </c>
      <c r="AI207" s="28">
        <f>IF(AND($A207&lt;&gt;"",$C207="Portfolio"),COUNTIFS($C$6:$C207,"Portfolio",$A$6:$A207,"&lt;&gt;"),"")</f>
        <v/>
      </c>
    </row>
    <row r="208">
      <c r="A208" s="25" t="n"/>
      <c r="B208" s="25" t="n"/>
      <c r="C208" s="25" t="n"/>
      <c r="D208" s="25" t="n"/>
      <c r="E208" s="25" t="n"/>
      <c r="F208" s="25" t="n"/>
      <c r="G208" s="25" t="n"/>
      <c r="H208" s="26" t="n"/>
      <c r="I208" s="26" t="n"/>
      <c r="J208" s="27" t="n"/>
      <c r="K208" s="27" t="n"/>
      <c r="L208" s="23" t="n"/>
      <c r="M208" s="28">
        <f>IF($A208="","",IF($D208="","Not read",IF($Q208=0,"Not counted",IF(MAX($X208,$Y208)=3,"■ Red",IF(MAX($X208,$Y208)=2,"◧ Amber",IF(MAX($X208,$Y208)=1,"□ On track","Not read"))))))</f>
        <v/>
      </c>
      <c r="N208" s="28">
        <f>IF(OR($A208="",$B208&lt;&gt;"Program"),"","■ "&amp;COUNTIFS($C$6:$C$305,$A208,$M$6:$M$305,"■ Red")&amp;" Red, ◧ "&amp;COUNTIFS($C$6:$C$305,$A208,$M$6:$M$305,"◧ Amber")&amp;" Amber")</f>
        <v/>
      </c>
      <c r="O208" s="29">
        <f>IF(OR($A208="",$E208=""),"",COUNTIFS($E$6:$E$305,$E208,$D$6:$D$305,"Active")+COUNTIFS($E$6:$E$305,$E208,$D$6:$D$305,"Paused"))</f>
        <v/>
      </c>
      <c r="P208" s="28">
        <f>IF($A208="","",IF($AE208=0,"○ Clear",IF($AA208=1,"△ No owner",IF($AC208=1,"△ Check Sits under",IF($AC208=2,"△ Outside the portfolio",IF($AB208=1,"△ No sponsor",IF($AH208=1,"△ Name used twice",IF($AG208=1,"△ Budget only counts under Portfolio","△ No variance note"))))))&amp;IF($AE208&gt;1," (+"&amp;($AE208-1)&amp;" more)","")))</f>
        <v/>
      </c>
      <c r="Q208" s="28">
        <f>IF(AND($A208&lt;&gt;"",OR($D208="Active",$D208="Paused")),1,0)</f>
        <v/>
      </c>
      <c r="R208" s="28">
        <f>IFERROR(INDEX($A$6:$A$305,MATCH(201,$S$6:$S$305,0)),"")</f>
        <v/>
      </c>
      <c r="S208" s="28">
        <f>IF(AND($A208&lt;&gt;"",$B208="Program"),COUNTIFS($B$6:$B208,"Program",$A$6:$A208,"&lt;&gt;"),"")</f>
        <v/>
      </c>
      <c r="T208" s="30">
        <f>IF(AND($A208&lt;&gt;"",$B208="Program"),SUMPRODUCT(MAX(($C$6:$C$305=$A208)*($B$6:$B$305="Project")*($D$6:$D$305&lt;&gt;"Proposed")*$I$6:$I$305)),0)</f>
        <v/>
      </c>
      <c r="U208" s="30">
        <f>IF($I208&lt;&gt;"",$I208,IF($T208&gt;0,$T208,""))</f>
        <v/>
      </c>
      <c r="V208" s="28">
        <f>IF(AND($A208&lt;&gt;"",$B208="Program"),SUMIFS($J$6:$J$305,$C$6:$C$305,$A208,$B$6:$B$305,"Project",$D$6:$D$305,"&lt;&gt;Proposed"),0)</f>
        <v/>
      </c>
      <c r="W208" s="28">
        <f>IF(AND($A208&lt;&gt;"",$B208="Program"),COUNTIFS($C$6:$C$305,$A208,$B$6:$B$305,"Project",$D$6:$D$305,"&lt;&gt;Proposed")-COUNTIFS($C$6:$C$305,$A208,$B$6:$B$305,"Project",$D$6:$D$305,"&lt;&gt;Proposed",$J$6:$J$305,"&gt;=0"),0)</f>
        <v/>
      </c>
      <c r="X208" s="28">
        <f>IF(OR($Q208=0,$H208="",$AF208="Sprint"),0,IF(AND($B208="Project",$H208&lt;TODAY()),3,IF($U208="",0,IF($U208&lt;=$H208,1,IF(NETWORKDAYS($H208,$U208)-1&gt;IF($B208="Program",Checks!$B$7,Checks!$B$6),3,2)))))</f>
        <v/>
      </c>
      <c r="Y208" s="28">
        <f>IF(OR($Q208=0,$K208="",$K208=0,$AF208="Sprint"),0,IF(AND($B208="Project",$J208=""),0,IF(IF($B208="Program",$V208,$J208)&gt;$K208*(1+Checks!$B$8),3,IF(IF($B208="Program",$V208,$J208)&gt;$K208,2,IF(AND($B208="Program",OR($W208&gt;0,$V208=0)),0,1)))))</f>
        <v/>
      </c>
      <c r="Z208" s="28">
        <f>IF($A208="",0,IF($C208="Portfolio",1,IF(AND($B208="Project",$C208&lt;&gt;"",$C208&lt;&gt;"Outside the portfolio"),IFERROR(IF(AND(INDEX($B$6:$B$305,MATCH($C208,$A$6:$A$305,0))="Program",INDEX($C$6:$C$305,MATCH($C208,$A$6:$A$305,0))="Portfolio"),1,0),0),0)))</f>
        <v/>
      </c>
      <c r="AA208" s="28">
        <f>IF(AND($A208&lt;&gt;"",$E208="",OR($Q208=1,$D208="Proposed")),1,0)</f>
        <v/>
      </c>
      <c r="AB208" s="28">
        <f>IF(AND($A208&lt;&gt;"",$B208="Program",$F208="",$Q208=1),1,0)</f>
        <v/>
      </c>
      <c r="AC208" s="28">
        <f>IF(OR($A208="",$D208="Completed",$D208="Terminated"),0,IF($C208="",1,IF($C208="Portfolio",0,IF($C208="Outside the portfolio",IF($Q208=1,2,0),IF($B208="Project",IF(IFERROR(INDEX($B$6:$B$305,MATCH($C208,$A$6:$A$305,0)),"")="Program",0,1),1)))))</f>
        <v/>
      </c>
      <c r="AD208" s="28">
        <f>IF(AND($A208&lt;&gt;"",OR($M208="■ Red",$M208="◧ Amber"),$L208=""),1,0)</f>
        <v/>
      </c>
      <c r="AE208" s="28">
        <f>$AA208+$AB208+IF($AC208&gt;0,1,0)+$AD208+$AG208+$AH208</f>
        <v/>
      </c>
      <c r="AF208" s="25" t="n"/>
      <c r="AG208" s="28">
        <f>IF(AND($A208&lt;&gt;"",$K208&lt;&gt;"",$C208&lt;&gt;"Portfolio",$D208&lt;&gt;"Completed",$D208&lt;&gt;"Terminated"),1,0)</f>
        <v/>
      </c>
      <c r="AH208" s="28">
        <f>IF(AND($A208&lt;&gt;"",COUNTIF($A$6:$A$305,$A208)&gt;1),1,0)</f>
        <v/>
      </c>
      <c r="AI208" s="28">
        <f>IF(AND($A208&lt;&gt;"",$C208="Portfolio"),COUNTIFS($C$6:$C208,"Portfolio",$A$6:$A208,"&lt;&gt;"),"")</f>
        <v/>
      </c>
    </row>
    <row r="209">
      <c r="A209" s="25" t="n"/>
      <c r="B209" s="25" t="n"/>
      <c r="C209" s="25" t="n"/>
      <c r="D209" s="25" t="n"/>
      <c r="E209" s="25" t="n"/>
      <c r="F209" s="25" t="n"/>
      <c r="G209" s="25" t="n"/>
      <c r="H209" s="26" t="n"/>
      <c r="I209" s="26" t="n"/>
      <c r="J209" s="27" t="n"/>
      <c r="K209" s="27" t="n"/>
      <c r="L209" s="23" t="n"/>
      <c r="M209" s="28">
        <f>IF($A209="","",IF($D209="","Not read",IF($Q209=0,"Not counted",IF(MAX($X209,$Y209)=3,"■ Red",IF(MAX($X209,$Y209)=2,"◧ Amber",IF(MAX($X209,$Y209)=1,"□ On track","Not read"))))))</f>
        <v/>
      </c>
      <c r="N209" s="28">
        <f>IF(OR($A209="",$B209&lt;&gt;"Program"),"","■ "&amp;COUNTIFS($C$6:$C$305,$A209,$M$6:$M$305,"■ Red")&amp;" Red, ◧ "&amp;COUNTIFS($C$6:$C$305,$A209,$M$6:$M$305,"◧ Amber")&amp;" Amber")</f>
        <v/>
      </c>
      <c r="O209" s="29">
        <f>IF(OR($A209="",$E209=""),"",COUNTIFS($E$6:$E$305,$E209,$D$6:$D$305,"Active")+COUNTIFS($E$6:$E$305,$E209,$D$6:$D$305,"Paused"))</f>
        <v/>
      </c>
      <c r="P209" s="28">
        <f>IF($A209="","",IF($AE209=0,"○ Clear",IF($AA209=1,"△ No owner",IF($AC209=1,"△ Check Sits under",IF($AC209=2,"△ Outside the portfolio",IF($AB209=1,"△ No sponsor",IF($AH209=1,"△ Name used twice",IF($AG209=1,"△ Budget only counts under Portfolio","△ No variance note"))))))&amp;IF($AE209&gt;1," (+"&amp;($AE209-1)&amp;" more)","")))</f>
        <v/>
      </c>
      <c r="Q209" s="28">
        <f>IF(AND($A209&lt;&gt;"",OR($D209="Active",$D209="Paused")),1,0)</f>
        <v/>
      </c>
      <c r="R209" s="28">
        <f>IFERROR(INDEX($A$6:$A$305,MATCH(202,$S$6:$S$305,0)),"")</f>
        <v/>
      </c>
      <c r="S209" s="28">
        <f>IF(AND($A209&lt;&gt;"",$B209="Program"),COUNTIFS($B$6:$B209,"Program",$A$6:$A209,"&lt;&gt;"),"")</f>
        <v/>
      </c>
      <c r="T209" s="30">
        <f>IF(AND($A209&lt;&gt;"",$B209="Program"),SUMPRODUCT(MAX(($C$6:$C$305=$A209)*($B$6:$B$305="Project")*($D$6:$D$305&lt;&gt;"Proposed")*$I$6:$I$305)),0)</f>
        <v/>
      </c>
      <c r="U209" s="30">
        <f>IF($I209&lt;&gt;"",$I209,IF($T209&gt;0,$T209,""))</f>
        <v/>
      </c>
      <c r="V209" s="28">
        <f>IF(AND($A209&lt;&gt;"",$B209="Program"),SUMIFS($J$6:$J$305,$C$6:$C$305,$A209,$B$6:$B$305,"Project",$D$6:$D$305,"&lt;&gt;Proposed"),0)</f>
        <v/>
      </c>
      <c r="W209" s="28">
        <f>IF(AND($A209&lt;&gt;"",$B209="Program"),COUNTIFS($C$6:$C$305,$A209,$B$6:$B$305,"Project",$D$6:$D$305,"&lt;&gt;Proposed")-COUNTIFS($C$6:$C$305,$A209,$B$6:$B$305,"Project",$D$6:$D$305,"&lt;&gt;Proposed",$J$6:$J$305,"&gt;=0"),0)</f>
        <v/>
      </c>
      <c r="X209" s="28">
        <f>IF(OR($Q209=0,$H209="",$AF209="Sprint"),0,IF(AND($B209="Project",$H209&lt;TODAY()),3,IF($U209="",0,IF($U209&lt;=$H209,1,IF(NETWORKDAYS($H209,$U209)-1&gt;IF($B209="Program",Checks!$B$7,Checks!$B$6),3,2)))))</f>
        <v/>
      </c>
      <c r="Y209" s="28">
        <f>IF(OR($Q209=0,$K209="",$K209=0,$AF209="Sprint"),0,IF(AND($B209="Project",$J209=""),0,IF(IF($B209="Program",$V209,$J209)&gt;$K209*(1+Checks!$B$8),3,IF(IF($B209="Program",$V209,$J209)&gt;$K209,2,IF(AND($B209="Program",OR($W209&gt;0,$V209=0)),0,1)))))</f>
        <v/>
      </c>
      <c r="Z209" s="28">
        <f>IF($A209="",0,IF($C209="Portfolio",1,IF(AND($B209="Project",$C209&lt;&gt;"",$C209&lt;&gt;"Outside the portfolio"),IFERROR(IF(AND(INDEX($B$6:$B$305,MATCH($C209,$A$6:$A$305,0))="Program",INDEX($C$6:$C$305,MATCH($C209,$A$6:$A$305,0))="Portfolio"),1,0),0),0)))</f>
        <v/>
      </c>
      <c r="AA209" s="28">
        <f>IF(AND($A209&lt;&gt;"",$E209="",OR($Q209=1,$D209="Proposed")),1,0)</f>
        <v/>
      </c>
      <c r="AB209" s="28">
        <f>IF(AND($A209&lt;&gt;"",$B209="Program",$F209="",$Q209=1),1,0)</f>
        <v/>
      </c>
      <c r="AC209" s="28">
        <f>IF(OR($A209="",$D209="Completed",$D209="Terminated"),0,IF($C209="",1,IF($C209="Portfolio",0,IF($C209="Outside the portfolio",IF($Q209=1,2,0),IF($B209="Project",IF(IFERROR(INDEX($B$6:$B$305,MATCH($C209,$A$6:$A$305,0)),"")="Program",0,1),1)))))</f>
        <v/>
      </c>
      <c r="AD209" s="28">
        <f>IF(AND($A209&lt;&gt;"",OR($M209="■ Red",$M209="◧ Amber"),$L209=""),1,0)</f>
        <v/>
      </c>
      <c r="AE209" s="28">
        <f>$AA209+$AB209+IF($AC209&gt;0,1,0)+$AD209+$AG209+$AH209</f>
        <v/>
      </c>
      <c r="AF209" s="25" t="n"/>
      <c r="AG209" s="28">
        <f>IF(AND($A209&lt;&gt;"",$K209&lt;&gt;"",$C209&lt;&gt;"Portfolio",$D209&lt;&gt;"Completed",$D209&lt;&gt;"Terminated"),1,0)</f>
        <v/>
      </c>
      <c r="AH209" s="28">
        <f>IF(AND($A209&lt;&gt;"",COUNTIF($A$6:$A$305,$A209)&gt;1),1,0)</f>
        <v/>
      </c>
      <c r="AI209" s="28">
        <f>IF(AND($A209&lt;&gt;"",$C209="Portfolio"),COUNTIFS($C$6:$C209,"Portfolio",$A$6:$A209,"&lt;&gt;"),"")</f>
        <v/>
      </c>
    </row>
    <row r="210">
      <c r="A210" s="25" t="n"/>
      <c r="B210" s="25" t="n"/>
      <c r="C210" s="25" t="n"/>
      <c r="D210" s="25" t="n"/>
      <c r="E210" s="25" t="n"/>
      <c r="F210" s="25" t="n"/>
      <c r="G210" s="25" t="n"/>
      <c r="H210" s="26" t="n"/>
      <c r="I210" s="26" t="n"/>
      <c r="J210" s="27" t="n"/>
      <c r="K210" s="27" t="n"/>
      <c r="L210" s="23" t="n"/>
      <c r="M210" s="28">
        <f>IF($A210="","",IF($D210="","Not read",IF($Q210=0,"Not counted",IF(MAX($X210,$Y210)=3,"■ Red",IF(MAX($X210,$Y210)=2,"◧ Amber",IF(MAX($X210,$Y210)=1,"□ On track","Not read"))))))</f>
        <v/>
      </c>
      <c r="N210" s="28">
        <f>IF(OR($A210="",$B210&lt;&gt;"Program"),"","■ "&amp;COUNTIFS($C$6:$C$305,$A210,$M$6:$M$305,"■ Red")&amp;" Red, ◧ "&amp;COUNTIFS($C$6:$C$305,$A210,$M$6:$M$305,"◧ Amber")&amp;" Amber")</f>
        <v/>
      </c>
      <c r="O210" s="29">
        <f>IF(OR($A210="",$E210=""),"",COUNTIFS($E$6:$E$305,$E210,$D$6:$D$305,"Active")+COUNTIFS($E$6:$E$305,$E210,$D$6:$D$305,"Paused"))</f>
        <v/>
      </c>
      <c r="P210" s="28">
        <f>IF($A210="","",IF($AE210=0,"○ Clear",IF($AA210=1,"△ No owner",IF($AC210=1,"△ Check Sits under",IF($AC210=2,"△ Outside the portfolio",IF($AB210=1,"△ No sponsor",IF($AH210=1,"△ Name used twice",IF($AG210=1,"△ Budget only counts under Portfolio","△ No variance note"))))))&amp;IF($AE210&gt;1," (+"&amp;($AE210-1)&amp;" more)","")))</f>
        <v/>
      </c>
      <c r="Q210" s="28">
        <f>IF(AND($A210&lt;&gt;"",OR($D210="Active",$D210="Paused")),1,0)</f>
        <v/>
      </c>
      <c r="R210" s="28">
        <f>IFERROR(INDEX($A$6:$A$305,MATCH(203,$S$6:$S$305,0)),"")</f>
        <v/>
      </c>
      <c r="S210" s="28">
        <f>IF(AND($A210&lt;&gt;"",$B210="Program"),COUNTIFS($B$6:$B210,"Program",$A$6:$A210,"&lt;&gt;"),"")</f>
        <v/>
      </c>
      <c r="T210" s="30">
        <f>IF(AND($A210&lt;&gt;"",$B210="Program"),SUMPRODUCT(MAX(($C$6:$C$305=$A210)*($B$6:$B$305="Project")*($D$6:$D$305&lt;&gt;"Proposed")*$I$6:$I$305)),0)</f>
        <v/>
      </c>
      <c r="U210" s="30">
        <f>IF($I210&lt;&gt;"",$I210,IF($T210&gt;0,$T210,""))</f>
        <v/>
      </c>
      <c r="V210" s="28">
        <f>IF(AND($A210&lt;&gt;"",$B210="Program"),SUMIFS($J$6:$J$305,$C$6:$C$305,$A210,$B$6:$B$305,"Project",$D$6:$D$305,"&lt;&gt;Proposed"),0)</f>
        <v/>
      </c>
      <c r="W210" s="28">
        <f>IF(AND($A210&lt;&gt;"",$B210="Program"),COUNTIFS($C$6:$C$305,$A210,$B$6:$B$305,"Project",$D$6:$D$305,"&lt;&gt;Proposed")-COUNTIFS($C$6:$C$305,$A210,$B$6:$B$305,"Project",$D$6:$D$305,"&lt;&gt;Proposed",$J$6:$J$305,"&gt;=0"),0)</f>
        <v/>
      </c>
      <c r="X210" s="28">
        <f>IF(OR($Q210=0,$H210="",$AF210="Sprint"),0,IF(AND($B210="Project",$H210&lt;TODAY()),3,IF($U210="",0,IF($U210&lt;=$H210,1,IF(NETWORKDAYS($H210,$U210)-1&gt;IF($B210="Program",Checks!$B$7,Checks!$B$6),3,2)))))</f>
        <v/>
      </c>
      <c r="Y210" s="28">
        <f>IF(OR($Q210=0,$K210="",$K210=0,$AF210="Sprint"),0,IF(AND($B210="Project",$J210=""),0,IF(IF($B210="Program",$V210,$J210)&gt;$K210*(1+Checks!$B$8),3,IF(IF($B210="Program",$V210,$J210)&gt;$K210,2,IF(AND($B210="Program",OR($W210&gt;0,$V210=0)),0,1)))))</f>
        <v/>
      </c>
      <c r="Z210" s="28">
        <f>IF($A210="",0,IF($C210="Portfolio",1,IF(AND($B210="Project",$C210&lt;&gt;"",$C210&lt;&gt;"Outside the portfolio"),IFERROR(IF(AND(INDEX($B$6:$B$305,MATCH($C210,$A$6:$A$305,0))="Program",INDEX($C$6:$C$305,MATCH($C210,$A$6:$A$305,0))="Portfolio"),1,0),0),0)))</f>
        <v/>
      </c>
      <c r="AA210" s="28">
        <f>IF(AND($A210&lt;&gt;"",$E210="",OR($Q210=1,$D210="Proposed")),1,0)</f>
        <v/>
      </c>
      <c r="AB210" s="28">
        <f>IF(AND($A210&lt;&gt;"",$B210="Program",$F210="",$Q210=1),1,0)</f>
        <v/>
      </c>
      <c r="AC210" s="28">
        <f>IF(OR($A210="",$D210="Completed",$D210="Terminated"),0,IF($C210="",1,IF($C210="Portfolio",0,IF($C210="Outside the portfolio",IF($Q210=1,2,0),IF($B210="Project",IF(IFERROR(INDEX($B$6:$B$305,MATCH($C210,$A$6:$A$305,0)),"")="Program",0,1),1)))))</f>
        <v/>
      </c>
      <c r="AD210" s="28">
        <f>IF(AND($A210&lt;&gt;"",OR($M210="■ Red",$M210="◧ Amber"),$L210=""),1,0)</f>
        <v/>
      </c>
      <c r="AE210" s="28">
        <f>$AA210+$AB210+IF($AC210&gt;0,1,0)+$AD210+$AG210+$AH210</f>
        <v/>
      </c>
      <c r="AF210" s="25" t="n"/>
      <c r="AG210" s="28">
        <f>IF(AND($A210&lt;&gt;"",$K210&lt;&gt;"",$C210&lt;&gt;"Portfolio",$D210&lt;&gt;"Completed",$D210&lt;&gt;"Terminated"),1,0)</f>
        <v/>
      </c>
      <c r="AH210" s="28">
        <f>IF(AND($A210&lt;&gt;"",COUNTIF($A$6:$A$305,$A210)&gt;1),1,0)</f>
        <v/>
      </c>
      <c r="AI210" s="28">
        <f>IF(AND($A210&lt;&gt;"",$C210="Portfolio"),COUNTIFS($C$6:$C210,"Portfolio",$A$6:$A210,"&lt;&gt;"),"")</f>
        <v/>
      </c>
    </row>
    <row r="211">
      <c r="A211" s="25" t="n"/>
      <c r="B211" s="25" t="n"/>
      <c r="C211" s="25" t="n"/>
      <c r="D211" s="25" t="n"/>
      <c r="E211" s="25" t="n"/>
      <c r="F211" s="25" t="n"/>
      <c r="G211" s="25" t="n"/>
      <c r="H211" s="26" t="n"/>
      <c r="I211" s="26" t="n"/>
      <c r="J211" s="27" t="n"/>
      <c r="K211" s="27" t="n"/>
      <c r="L211" s="23" t="n"/>
      <c r="M211" s="28">
        <f>IF($A211="","",IF($D211="","Not read",IF($Q211=0,"Not counted",IF(MAX($X211,$Y211)=3,"■ Red",IF(MAX($X211,$Y211)=2,"◧ Amber",IF(MAX($X211,$Y211)=1,"□ On track","Not read"))))))</f>
        <v/>
      </c>
      <c r="N211" s="28">
        <f>IF(OR($A211="",$B211&lt;&gt;"Program"),"","■ "&amp;COUNTIFS($C$6:$C$305,$A211,$M$6:$M$305,"■ Red")&amp;" Red, ◧ "&amp;COUNTIFS($C$6:$C$305,$A211,$M$6:$M$305,"◧ Amber")&amp;" Amber")</f>
        <v/>
      </c>
      <c r="O211" s="29">
        <f>IF(OR($A211="",$E211=""),"",COUNTIFS($E$6:$E$305,$E211,$D$6:$D$305,"Active")+COUNTIFS($E$6:$E$305,$E211,$D$6:$D$305,"Paused"))</f>
        <v/>
      </c>
      <c r="P211" s="28">
        <f>IF($A211="","",IF($AE211=0,"○ Clear",IF($AA211=1,"△ No owner",IF($AC211=1,"△ Check Sits under",IF($AC211=2,"△ Outside the portfolio",IF($AB211=1,"△ No sponsor",IF($AH211=1,"△ Name used twice",IF($AG211=1,"△ Budget only counts under Portfolio","△ No variance note"))))))&amp;IF($AE211&gt;1," (+"&amp;($AE211-1)&amp;" more)","")))</f>
        <v/>
      </c>
      <c r="Q211" s="28">
        <f>IF(AND($A211&lt;&gt;"",OR($D211="Active",$D211="Paused")),1,0)</f>
        <v/>
      </c>
      <c r="R211" s="28">
        <f>IFERROR(INDEX($A$6:$A$305,MATCH(204,$S$6:$S$305,0)),"")</f>
        <v/>
      </c>
      <c r="S211" s="28">
        <f>IF(AND($A211&lt;&gt;"",$B211="Program"),COUNTIFS($B$6:$B211,"Program",$A$6:$A211,"&lt;&gt;"),"")</f>
        <v/>
      </c>
      <c r="T211" s="30">
        <f>IF(AND($A211&lt;&gt;"",$B211="Program"),SUMPRODUCT(MAX(($C$6:$C$305=$A211)*($B$6:$B$305="Project")*($D$6:$D$305&lt;&gt;"Proposed")*$I$6:$I$305)),0)</f>
        <v/>
      </c>
      <c r="U211" s="30">
        <f>IF($I211&lt;&gt;"",$I211,IF($T211&gt;0,$T211,""))</f>
        <v/>
      </c>
      <c r="V211" s="28">
        <f>IF(AND($A211&lt;&gt;"",$B211="Program"),SUMIFS($J$6:$J$305,$C$6:$C$305,$A211,$B$6:$B$305,"Project",$D$6:$D$305,"&lt;&gt;Proposed"),0)</f>
        <v/>
      </c>
      <c r="W211" s="28">
        <f>IF(AND($A211&lt;&gt;"",$B211="Program"),COUNTIFS($C$6:$C$305,$A211,$B$6:$B$305,"Project",$D$6:$D$305,"&lt;&gt;Proposed")-COUNTIFS($C$6:$C$305,$A211,$B$6:$B$305,"Project",$D$6:$D$305,"&lt;&gt;Proposed",$J$6:$J$305,"&gt;=0"),0)</f>
        <v/>
      </c>
      <c r="X211" s="28">
        <f>IF(OR($Q211=0,$H211="",$AF211="Sprint"),0,IF(AND($B211="Project",$H211&lt;TODAY()),3,IF($U211="",0,IF($U211&lt;=$H211,1,IF(NETWORKDAYS($H211,$U211)-1&gt;IF($B211="Program",Checks!$B$7,Checks!$B$6),3,2)))))</f>
        <v/>
      </c>
      <c r="Y211" s="28">
        <f>IF(OR($Q211=0,$K211="",$K211=0,$AF211="Sprint"),0,IF(AND($B211="Project",$J211=""),0,IF(IF($B211="Program",$V211,$J211)&gt;$K211*(1+Checks!$B$8),3,IF(IF($B211="Program",$V211,$J211)&gt;$K211,2,IF(AND($B211="Program",OR($W211&gt;0,$V211=0)),0,1)))))</f>
        <v/>
      </c>
      <c r="Z211" s="28">
        <f>IF($A211="",0,IF($C211="Portfolio",1,IF(AND($B211="Project",$C211&lt;&gt;"",$C211&lt;&gt;"Outside the portfolio"),IFERROR(IF(AND(INDEX($B$6:$B$305,MATCH($C211,$A$6:$A$305,0))="Program",INDEX($C$6:$C$305,MATCH($C211,$A$6:$A$305,0))="Portfolio"),1,0),0),0)))</f>
        <v/>
      </c>
      <c r="AA211" s="28">
        <f>IF(AND($A211&lt;&gt;"",$E211="",OR($Q211=1,$D211="Proposed")),1,0)</f>
        <v/>
      </c>
      <c r="AB211" s="28">
        <f>IF(AND($A211&lt;&gt;"",$B211="Program",$F211="",$Q211=1),1,0)</f>
        <v/>
      </c>
      <c r="AC211" s="28">
        <f>IF(OR($A211="",$D211="Completed",$D211="Terminated"),0,IF($C211="",1,IF($C211="Portfolio",0,IF($C211="Outside the portfolio",IF($Q211=1,2,0),IF($B211="Project",IF(IFERROR(INDEX($B$6:$B$305,MATCH($C211,$A$6:$A$305,0)),"")="Program",0,1),1)))))</f>
        <v/>
      </c>
      <c r="AD211" s="28">
        <f>IF(AND($A211&lt;&gt;"",OR($M211="■ Red",$M211="◧ Amber"),$L211=""),1,0)</f>
        <v/>
      </c>
      <c r="AE211" s="28">
        <f>$AA211+$AB211+IF($AC211&gt;0,1,0)+$AD211+$AG211+$AH211</f>
        <v/>
      </c>
      <c r="AF211" s="25" t="n"/>
      <c r="AG211" s="28">
        <f>IF(AND($A211&lt;&gt;"",$K211&lt;&gt;"",$C211&lt;&gt;"Portfolio",$D211&lt;&gt;"Completed",$D211&lt;&gt;"Terminated"),1,0)</f>
        <v/>
      </c>
      <c r="AH211" s="28">
        <f>IF(AND($A211&lt;&gt;"",COUNTIF($A$6:$A$305,$A211)&gt;1),1,0)</f>
        <v/>
      </c>
      <c r="AI211" s="28">
        <f>IF(AND($A211&lt;&gt;"",$C211="Portfolio"),COUNTIFS($C$6:$C211,"Portfolio",$A$6:$A211,"&lt;&gt;"),"")</f>
        <v/>
      </c>
    </row>
    <row r="212">
      <c r="A212" s="25" t="n"/>
      <c r="B212" s="25" t="n"/>
      <c r="C212" s="25" t="n"/>
      <c r="D212" s="25" t="n"/>
      <c r="E212" s="25" t="n"/>
      <c r="F212" s="25" t="n"/>
      <c r="G212" s="25" t="n"/>
      <c r="H212" s="26" t="n"/>
      <c r="I212" s="26" t="n"/>
      <c r="J212" s="27" t="n"/>
      <c r="K212" s="27" t="n"/>
      <c r="L212" s="23" t="n"/>
      <c r="M212" s="28">
        <f>IF($A212="","",IF($D212="","Not read",IF($Q212=0,"Not counted",IF(MAX($X212,$Y212)=3,"■ Red",IF(MAX($X212,$Y212)=2,"◧ Amber",IF(MAX($X212,$Y212)=1,"□ On track","Not read"))))))</f>
        <v/>
      </c>
      <c r="N212" s="28">
        <f>IF(OR($A212="",$B212&lt;&gt;"Program"),"","■ "&amp;COUNTIFS($C$6:$C$305,$A212,$M$6:$M$305,"■ Red")&amp;" Red, ◧ "&amp;COUNTIFS($C$6:$C$305,$A212,$M$6:$M$305,"◧ Amber")&amp;" Amber")</f>
        <v/>
      </c>
      <c r="O212" s="29">
        <f>IF(OR($A212="",$E212=""),"",COUNTIFS($E$6:$E$305,$E212,$D$6:$D$305,"Active")+COUNTIFS($E$6:$E$305,$E212,$D$6:$D$305,"Paused"))</f>
        <v/>
      </c>
      <c r="P212" s="28">
        <f>IF($A212="","",IF($AE212=0,"○ Clear",IF($AA212=1,"△ No owner",IF($AC212=1,"△ Check Sits under",IF($AC212=2,"△ Outside the portfolio",IF($AB212=1,"△ No sponsor",IF($AH212=1,"△ Name used twice",IF($AG212=1,"△ Budget only counts under Portfolio","△ No variance note"))))))&amp;IF($AE212&gt;1," (+"&amp;($AE212-1)&amp;" more)","")))</f>
        <v/>
      </c>
      <c r="Q212" s="28">
        <f>IF(AND($A212&lt;&gt;"",OR($D212="Active",$D212="Paused")),1,0)</f>
        <v/>
      </c>
      <c r="R212" s="28">
        <f>IFERROR(INDEX($A$6:$A$305,MATCH(205,$S$6:$S$305,0)),"")</f>
        <v/>
      </c>
      <c r="S212" s="28">
        <f>IF(AND($A212&lt;&gt;"",$B212="Program"),COUNTIFS($B$6:$B212,"Program",$A$6:$A212,"&lt;&gt;"),"")</f>
        <v/>
      </c>
      <c r="T212" s="30">
        <f>IF(AND($A212&lt;&gt;"",$B212="Program"),SUMPRODUCT(MAX(($C$6:$C$305=$A212)*($B$6:$B$305="Project")*($D$6:$D$305&lt;&gt;"Proposed")*$I$6:$I$305)),0)</f>
        <v/>
      </c>
      <c r="U212" s="30">
        <f>IF($I212&lt;&gt;"",$I212,IF($T212&gt;0,$T212,""))</f>
        <v/>
      </c>
      <c r="V212" s="28">
        <f>IF(AND($A212&lt;&gt;"",$B212="Program"),SUMIFS($J$6:$J$305,$C$6:$C$305,$A212,$B$6:$B$305,"Project",$D$6:$D$305,"&lt;&gt;Proposed"),0)</f>
        <v/>
      </c>
      <c r="W212" s="28">
        <f>IF(AND($A212&lt;&gt;"",$B212="Program"),COUNTIFS($C$6:$C$305,$A212,$B$6:$B$305,"Project",$D$6:$D$305,"&lt;&gt;Proposed")-COUNTIFS($C$6:$C$305,$A212,$B$6:$B$305,"Project",$D$6:$D$305,"&lt;&gt;Proposed",$J$6:$J$305,"&gt;=0"),0)</f>
        <v/>
      </c>
      <c r="X212" s="28">
        <f>IF(OR($Q212=0,$H212="",$AF212="Sprint"),0,IF(AND($B212="Project",$H212&lt;TODAY()),3,IF($U212="",0,IF($U212&lt;=$H212,1,IF(NETWORKDAYS($H212,$U212)-1&gt;IF($B212="Program",Checks!$B$7,Checks!$B$6),3,2)))))</f>
        <v/>
      </c>
      <c r="Y212" s="28">
        <f>IF(OR($Q212=0,$K212="",$K212=0,$AF212="Sprint"),0,IF(AND($B212="Project",$J212=""),0,IF(IF($B212="Program",$V212,$J212)&gt;$K212*(1+Checks!$B$8),3,IF(IF($B212="Program",$V212,$J212)&gt;$K212,2,IF(AND($B212="Program",OR($W212&gt;0,$V212=0)),0,1)))))</f>
        <v/>
      </c>
      <c r="Z212" s="28">
        <f>IF($A212="",0,IF($C212="Portfolio",1,IF(AND($B212="Project",$C212&lt;&gt;"",$C212&lt;&gt;"Outside the portfolio"),IFERROR(IF(AND(INDEX($B$6:$B$305,MATCH($C212,$A$6:$A$305,0))="Program",INDEX($C$6:$C$305,MATCH($C212,$A$6:$A$305,0))="Portfolio"),1,0),0),0)))</f>
        <v/>
      </c>
      <c r="AA212" s="28">
        <f>IF(AND($A212&lt;&gt;"",$E212="",OR($Q212=1,$D212="Proposed")),1,0)</f>
        <v/>
      </c>
      <c r="AB212" s="28">
        <f>IF(AND($A212&lt;&gt;"",$B212="Program",$F212="",$Q212=1),1,0)</f>
        <v/>
      </c>
      <c r="AC212" s="28">
        <f>IF(OR($A212="",$D212="Completed",$D212="Terminated"),0,IF($C212="",1,IF($C212="Portfolio",0,IF($C212="Outside the portfolio",IF($Q212=1,2,0),IF($B212="Project",IF(IFERROR(INDEX($B$6:$B$305,MATCH($C212,$A$6:$A$305,0)),"")="Program",0,1),1)))))</f>
        <v/>
      </c>
      <c r="AD212" s="28">
        <f>IF(AND($A212&lt;&gt;"",OR($M212="■ Red",$M212="◧ Amber"),$L212=""),1,0)</f>
        <v/>
      </c>
      <c r="AE212" s="28">
        <f>$AA212+$AB212+IF($AC212&gt;0,1,0)+$AD212+$AG212+$AH212</f>
        <v/>
      </c>
      <c r="AF212" s="25" t="n"/>
      <c r="AG212" s="28">
        <f>IF(AND($A212&lt;&gt;"",$K212&lt;&gt;"",$C212&lt;&gt;"Portfolio",$D212&lt;&gt;"Completed",$D212&lt;&gt;"Terminated"),1,0)</f>
        <v/>
      </c>
      <c r="AH212" s="28">
        <f>IF(AND($A212&lt;&gt;"",COUNTIF($A$6:$A$305,$A212)&gt;1),1,0)</f>
        <v/>
      </c>
      <c r="AI212" s="28">
        <f>IF(AND($A212&lt;&gt;"",$C212="Portfolio"),COUNTIFS($C$6:$C212,"Portfolio",$A$6:$A212,"&lt;&gt;"),"")</f>
        <v/>
      </c>
    </row>
    <row r="213">
      <c r="A213" s="25" t="n"/>
      <c r="B213" s="25" t="n"/>
      <c r="C213" s="25" t="n"/>
      <c r="D213" s="25" t="n"/>
      <c r="E213" s="25" t="n"/>
      <c r="F213" s="25" t="n"/>
      <c r="G213" s="25" t="n"/>
      <c r="H213" s="26" t="n"/>
      <c r="I213" s="26" t="n"/>
      <c r="J213" s="27" t="n"/>
      <c r="K213" s="27" t="n"/>
      <c r="L213" s="23" t="n"/>
      <c r="M213" s="28">
        <f>IF($A213="","",IF($D213="","Not read",IF($Q213=0,"Not counted",IF(MAX($X213,$Y213)=3,"■ Red",IF(MAX($X213,$Y213)=2,"◧ Amber",IF(MAX($X213,$Y213)=1,"□ On track","Not read"))))))</f>
        <v/>
      </c>
      <c r="N213" s="28">
        <f>IF(OR($A213="",$B213&lt;&gt;"Program"),"","■ "&amp;COUNTIFS($C$6:$C$305,$A213,$M$6:$M$305,"■ Red")&amp;" Red, ◧ "&amp;COUNTIFS($C$6:$C$305,$A213,$M$6:$M$305,"◧ Amber")&amp;" Amber")</f>
        <v/>
      </c>
      <c r="O213" s="29">
        <f>IF(OR($A213="",$E213=""),"",COUNTIFS($E$6:$E$305,$E213,$D$6:$D$305,"Active")+COUNTIFS($E$6:$E$305,$E213,$D$6:$D$305,"Paused"))</f>
        <v/>
      </c>
      <c r="P213" s="28">
        <f>IF($A213="","",IF($AE213=0,"○ Clear",IF($AA213=1,"△ No owner",IF($AC213=1,"△ Check Sits under",IF($AC213=2,"△ Outside the portfolio",IF($AB213=1,"△ No sponsor",IF($AH213=1,"△ Name used twice",IF($AG213=1,"△ Budget only counts under Portfolio","△ No variance note"))))))&amp;IF($AE213&gt;1," (+"&amp;($AE213-1)&amp;" more)","")))</f>
        <v/>
      </c>
      <c r="Q213" s="28">
        <f>IF(AND($A213&lt;&gt;"",OR($D213="Active",$D213="Paused")),1,0)</f>
        <v/>
      </c>
      <c r="R213" s="28">
        <f>IFERROR(INDEX($A$6:$A$305,MATCH(206,$S$6:$S$305,0)),"")</f>
        <v/>
      </c>
      <c r="S213" s="28">
        <f>IF(AND($A213&lt;&gt;"",$B213="Program"),COUNTIFS($B$6:$B213,"Program",$A$6:$A213,"&lt;&gt;"),"")</f>
        <v/>
      </c>
      <c r="T213" s="30">
        <f>IF(AND($A213&lt;&gt;"",$B213="Program"),SUMPRODUCT(MAX(($C$6:$C$305=$A213)*($B$6:$B$305="Project")*($D$6:$D$305&lt;&gt;"Proposed")*$I$6:$I$305)),0)</f>
        <v/>
      </c>
      <c r="U213" s="30">
        <f>IF($I213&lt;&gt;"",$I213,IF($T213&gt;0,$T213,""))</f>
        <v/>
      </c>
      <c r="V213" s="28">
        <f>IF(AND($A213&lt;&gt;"",$B213="Program"),SUMIFS($J$6:$J$305,$C$6:$C$305,$A213,$B$6:$B$305,"Project",$D$6:$D$305,"&lt;&gt;Proposed"),0)</f>
        <v/>
      </c>
      <c r="W213" s="28">
        <f>IF(AND($A213&lt;&gt;"",$B213="Program"),COUNTIFS($C$6:$C$305,$A213,$B$6:$B$305,"Project",$D$6:$D$305,"&lt;&gt;Proposed")-COUNTIFS($C$6:$C$305,$A213,$B$6:$B$305,"Project",$D$6:$D$305,"&lt;&gt;Proposed",$J$6:$J$305,"&gt;=0"),0)</f>
        <v/>
      </c>
      <c r="X213" s="28">
        <f>IF(OR($Q213=0,$H213="",$AF213="Sprint"),0,IF(AND($B213="Project",$H213&lt;TODAY()),3,IF($U213="",0,IF($U213&lt;=$H213,1,IF(NETWORKDAYS($H213,$U213)-1&gt;IF($B213="Program",Checks!$B$7,Checks!$B$6),3,2)))))</f>
        <v/>
      </c>
      <c r="Y213" s="28">
        <f>IF(OR($Q213=0,$K213="",$K213=0,$AF213="Sprint"),0,IF(AND($B213="Project",$J213=""),0,IF(IF($B213="Program",$V213,$J213)&gt;$K213*(1+Checks!$B$8),3,IF(IF($B213="Program",$V213,$J213)&gt;$K213,2,IF(AND($B213="Program",OR($W213&gt;0,$V213=0)),0,1)))))</f>
        <v/>
      </c>
      <c r="Z213" s="28">
        <f>IF($A213="",0,IF($C213="Portfolio",1,IF(AND($B213="Project",$C213&lt;&gt;"",$C213&lt;&gt;"Outside the portfolio"),IFERROR(IF(AND(INDEX($B$6:$B$305,MATCH($C213,$A$6:$A$305,0))="Program",INDEX($C$6:$C$305,MATCH($C213,$A$6:$A$305,0))="Portfolio"),1,0),0),0)))</f>
        <v/>
      </c>
      <c r="AA213" s="28">
        <f>IF(AND($A213&lt;&gt;"",$E213="",OR($Q213=1,$D213="Proposed")),1,0)</f>
        <v/>
      </c>
      <c r="AB213" s="28">
        <f>IF(AND($A213&lt;&gt;"",$B213="Program",$F213="",$Q213=1),1,0)</f>
        <v/>
      </c>
      <c r="AC213" s="28">
        <f>IF(OR($A213="",$D213="Completed",$D213="Terminated"),0,IF($C213="",1,IF($C213="Portfolio",0,IF($C213="Outside the portfolio",IF($Q213=1,2,0),IF($B213="Project",IF(IFERROR(INDEX($B$6:$B$305,MATCH($C213,$A$6:$A$305,0)),"")="Program",0,1),1)))))</f>
        <v/>
      </c>
      <c r="AD213" s="28">
        <f>IF(AND($A213&lt;&gt;"",OR($M213="■ Red",$M213="◧ Amber"),$L213=""),1,0)</f>
        <v/>
      </c>
      <c r="AE213" s="28">
        <f>$AA213+$AB213+IF($AC213&gt;0,1,0)+$AD213+$AG213+$AH213</f>
        <v/>
      </c>
      <c r="AF213" s="25" t="n"/>
      <c r="AG213" s="28">
        <f>IF(AND($A213&lt;&gt;"",$K213&lt;&gt;"",$C213&lt;&gt;"Portfolio",$D213&lt;&gt;"Completed",$D213&lt;&gt;"Terminated"),1,0)</f>
        <v/>
      </c>
      <c r="AH213" s="28">
        <f>IF(AND($A213&lt;&gt;"",COUNTIF($A$6:$A$305,$A213)&gt;1),1,0)</f>
        <v/>
      </c>
      <c r="AI213" s="28">
        <f>IF(AND($A213&lt;&gt;"",$C213="Portfolio"),COUNTIFS($C$6:$C213,"Portfolio",$A$6:$A213,"&lt;&gt;"),"")</f>
        <v/>
      </c>
    </row>
    <row r="214">
      <c r="A214" s="25" t="n"/>
      <c r="B214" s="25" t="n"/>
      <c r="C214" s="25" t="n"/>
      <c r="D214" s="25" t="n"/>
      <c r="E214" s="25" t="n"/>
      <c r="F214" s="25" t="n"/>
      <c r="G214" s="25" t="n"/>
      <c r="H214" s="26" t="n"/>
      <c r="I214" s="26" t="n"/>
      <c r="J214" s="27" t="n"/>
      <c r="K214" s="27" t="n"/>
      <c r="L214" s="23" t="n"/>
      <c r="M214" s="28">
        <f>IF($A214="","",IF($D214="","Not read",IF($Q214=0,"Not counted",IF(MAX($X214,$Y214)=3,"■ Red",IF(MAX($X214,$Y214)=2,"◧ Amber",IF(MAX($X214,$Y214)=1,"□ On track","Not read"))))))</f>
        <v/>
      </c>
      <c r="N214" s="28">
        <f>IF(OR($A214="",$B214&lt;&gt;"Program"),"","■ "&amp;COUNTIFS($C$6:$C$305,$A214,$M$6:$M$305,"■ Red")&amp;" Red, ◧ "&amp;COUNTIFS($C$6:$C$305,$A214,$M$6:$M$305,"◧ Amber")&amp;" Amber")</f>
        <v/>
      </c>
      <c r="O214" s="29">
        <f>IF(OR($A214="",$E214=""),"",COUNTIFS($E$6:$E$305,$E214,$D$6:$D$305,"Active")+COUNTIFS($E$6:$E$305,$E214,$D$6:$D$305,"Paused"))</f>
        <v/>
      </c>
      <c r="P214" s="28">
        <f>IF($A214="","",IF($AE214=0,"○ Clear",IF($AA214=1,"△ No owner",IF($AC214=1,"△ Check Sits under",IF($AC214=2,"△ Outside the portfolio",IF($AB214=1,"△ No sponsor",IF($AH214=1,"△ Name used twice",IF($AG214=1,"△ Budget only counts under Portfolio","△ No variance note"))))))&amp;IF($AE214&gt;1," (+"&amp;($AE214-1)&amp;" more)","")))</f>
        <v/>
      </c>
      <c r="Q214" s="28">
        <f>IF(AND($A214&lt;&gt;"",OR($D214="Active",$D214="Paused")),1,0)</f>
        <v/>
      </c>
      <c r="R214" s="28">
        <f>IFERROR(INDEX($A$6:$A$305,MATCH(207,$S$6:$S$305,0)),"")</f>
        <v/>
      </c>
      <c r="S214" s="28">
        <f>IF(AND($A214&lt;&gt;"",$B214="Program"),COUNTIFS($B$6:$B214,"Program",$A$6:$A214,"&lt;&gt;"),"")</f>
        <v/>
      </c>
      <c r="T214" s="30">
        <f>IF(AND($A214&lt;&gt;"",$B214="Program"),SUMPRODUCT(MAX(($C$6:$C$305=$A214)*($B$6:$B$305="Project")*($D$6:$D$305&lt;&gt;"Proposed")*$I$6:$I$305)),0)</f>
        <v/>
      </c>
      <c r="U214" s="30">
        <f>IF($I214&lt;&gt;"",$I214,IF($T214&gt;0,$T214,""))</f>
        <v/>
      </c>
      <c r="V214" s="28">
        <f>IF(AND($A214&lt;&gt;"",$B214="Program"),SUMIFS($J$6:$J$305,$C$6:$C$305,$A214,$B$6:$B$305,"Project",$D$6:$D$305,"&lt;&gt;Proposed"),0)</f>
        <v/>
      </c>
      <c r="W214" s="28">
        <f>IF(AND($A214&lt;&gt;"",$B214="Program"),COUNTIFS($C$6:$C$305,$A214,$B$6:$B$305,"Project",$D$6:$D$305,"&lt;&gt;Proposed")-COUNTIFS($C$6:$C$305,$A214,$B$6:$B$305,"Project",$D$6:$D$305,"&lt;&gt;Proposed",$J$6:$J$305,"&gt;=0"),0)</f>
        <v/>
      </c>
      <c r="X214" s="28">
        <f>IF(OR($Q214=0,$H214="",$AF214="Sprint"),0,IF(AND($B214="Project",$H214&lt;TODAY()),3,IF($U214="",0,IF($U214&lt;=$H214,1,IF(NETWORKDAYS($H214,$U214)-1&gt;IF($B214="Program",Checks!$B$7,Checks!$B$6),3,2)))))</f>
        <v/>
      </c>
      <c r="Y214" s="28">
        <f>IF(OR($Q214=0,$K214="",$K214=0,$AF214="Sprint"),0,IF(AND($B214="Project",$J214=""),0,IF(IF($B214="Program",$V214,$J214)&gt;$K214*(1+Checks!$B$8),3,IF(IF($B214="Program",$V214,$J214)&gt;$K214,2,IF(AND($B214="Program",OR($W214&gt;0,$V214=0)),0,1)))))</f>
        <v/>
      </c>
      <c r="Z214" s="28">
        <f>IF($A214="",0,IF($C214="Portfolio",1,IF(AND($B214="Project",$C214&lt;&gt;"",$C214&lt;&gt;"Outside the portfolio"),IFERROR(IF(AND(INDEX($B$6:$B$305,MATCH($C214,$A$6:$A$305,0))="Program",INDEX($C$6:$C$305,MATCH($C214,$A$6:$A$305,0))="Portfolio"),1,0),0),0)))</f>
        <v/>
      </c>
      <c r="AA214" s="28">
        <f>IF(AND($A214&lt;&gt;"",$E214="",OR($Q214=1,$D214="Proposed")),1,0)</f>
        <v/>
      </c>
      <c r="AB214" s="28">
        <f>IF(AND($A214&lt;&gt;"",$B214="Program",$F214="",$Q214=1),1,0)</f>
        <v/>
      </c>
      <c r="AC214" s="28">
        <f>IF(OR($A214="",$D214="Completed",$D214="Terminated"),0,IF($C214="",1,IF($C214="Portfolio",0,IF($C214="Outside the portfolio",IF($Q214=1,2,0),IF($B214="Project",IF(IFERROR(INDEX($B$6:$B$305,MATCH($C214,$A$6:$A$305,0)),"")="Program",0,1),1)))))</f>
        <v/>
      </c>
      <c r="AD214" s="28">
        <f>IF(AND($A214&lt;&gt;"",OR($M214="■ Red",$M214="◧ Amber"),$L214=""),1,0)</f>
        <v/>
      </c>
      <c r="AE214" s="28">
        <f>$AA214+$AB214+IF($AC214&gt;0,1,0)+$AD214+$AG214+$AH214</f>
        <v/>
      </c>
      <c r="AF214" s="25" t="n"/>
      <c r="AG214" s="28">
        <f>IF(AND($A214&lt;&gt;"",$K214&lt;&gt;"",$C214&lt;&gt;"Portfolio",$D214&lt;&gt;"Completed",$D214&lt;&gt;"Terminated"),1,0)</f>
        <v/>
      </c>
      <c r="AH214" s="28">
        <f>IF(AND($A214&lt;&gt;"",COUNTIF($A$6:$A$305,$A214)&gt;1),1,0)</f>
        <v/>
      </c>
      <c r="AI214" s="28">
        <f>IF(AND($A214&lt;&gt;"",$C214="Portfolio"),COUNTIFS($C$6:$C214,"Portfolio",$A$6:$A214,"&lt;&gt;"),"")</f>
        <v/>
      </c>
    </row>
    <row r="215">
      <c r="A215" s="25" t="n"/>
      <c r="B215" s="25" t="n"/>
      <c r="C215" s="25" t="n"/>
      <c r="D215" s="25" t="n"/>
      <c r="E215" s="25" t="n"/>
      <c r="F215" s="25" t="n"/>
      <c r="G215" s="25" t="n"/>
      <c r="H215" s="26" t="n"/>
      <c r="I215" s="26" t="n"/>
      <c r="J215" s="27" t="n"/>
      <c r="K215" s="27" t="n"/>
      <c r="L215" s="23" t="n"/>
      <c r="M215" s="28">
        <f>IF($A215="","",IF($D215="","Not read",IF($Q215=0,"Not counted",IF(MAX($X215,$Y215)=3,"■ Red",IF(MAX($X215,$Y215)=2,"◧ Amber",IF(MAX($X215,$Y215)=1,"□ On track","Not read"))))))</f>
        <v/>
      </c>
      <c r="N215" s="28">
        <f>IF(OR($A215="",$B215&lt;&gt;"Program"),"","■ "&amp;COUNTIFS($C$6:$C$305,$A215,$M$6:$M$305,"■ Red")&amp;" Red, ◧ "&amp;COUNTIFS($C$6:$C$305,$A215,$M$6:$M$305,"◧ Amber")&amp;" Amber")</f>
        <v/>
      </c>
      <c r="O215" s="29">
        <f>IF(OR($A215="",$E215=""),"",COUNTIFS($E$6:$E$305,$E215,$D$6:$D$305,"Active")+COUNTIFS($E$6:$E$305,$E215,$D$6:$D$305,"Paused"))</f>
        <v/>
      </c>
      <c r="P215" s="28">
        <f>IF($A215="","",IF($AE215=0,"○ Clear",IF($AA215=1,"△ No owner",IF($AC215=1,"△ Check Sits under",IF($AC215=2,"△ Outside the portfolio",IF($AB215=1,"△ No sponsor",IF($AH215=1,"△ Name used twice",IF($AG215=1,"△ Budget only counts under Portfolio","△ No variance note"))))))&amp;IF($AE215&gt;1," (+"&amp;($AE215-1)&amp;" more)","")))</f>
        <v/>
      </c>
      <c r="Q215" s="28">
        <f>IF(AND($A215&lt;&gt;"",OR($D215="Active",$D215="Paused")),1,0)</f>
        <v/>
      </c>
      <c r="R215" s="28">
        <f>IFERROR(INDEX($A$6:$A$305,MATCH(208,$S$6:$S$305,0)),"")</f>
        <v/>
      </c>
      <c r="S215" s="28">
        <f>IF(AND($A215&lt;&gt;"",$B215="Program"),COUNTIFS($B$6:$B215,"Program",$A$6:$A215,"&lt;&gt;"),"")</f>
        <v/>
      </c>
      <c r="T215" s="30">
        <f>IF(AND($A215&lt;&gt;"",$B215="Program"),SUMPRODUCT(MAX(($C$6:$C$305=$A215)*($B$6:$B$305="Project")*($D$6:$D$305&lt;&gt;"Proposed")*$I$6:$I$305)),0)</f>
        <v/>
      </c>
      <c r="U215" s="30">
        <f>IF($I215&lt;&gt;"",$I215,IF($T215&gt;0,$T215,""))</f>
        <v/>
      </c>
      <c r="V215" s="28">
        <f>IF(AND($A215&lt;&gt;"",$B215="Program"),SUMIFS($J$6:$J$305,$C$6:$C$305,$A215,$B$6:$B$305,"Project",$D$6:$D$305,"&lt;&gt;Proposed"),0)</f>
        <v/>
      </c>
      <c r="W215" s="28">
        <f>IF(AND($A215&lt;&gt;"",$B215="Program"),COUNTIFS($C$6:$C$305,$A215,$B$6:$B$305,"Project",$D$6:$D$305,"&lt;&gt;Proposed")-COUNTIFS($C$6:$C$305,$A215,$B$6:$B$305,"Project",$D$6:$D$305,"&lt;&gt;Proposed",$J$6:$J$305,"&gt;=0"),0)</f>
        <v/>
      </c>
      <c r="X215" s="28">
        <f>IF(OR($Q215=0,$H215="",$AF215="Sprint"),0,IF(AND($B215="Project",$H215&lt;TODAY()),3,IF($U215="",0,IF($U215&lt;=$H215,1,IF(NETWORKDAYS($H215,$U215)-1&gt;IF($B215="Program",Checks!$B$7,Checks!$B$6),3,2)))))</f>
        <v/>
      </c>
      <c r="Y215" s="28">
        <f>IF(OR($Q215=0,$K215="",$K215=0,$AF215="Sprint"),0,IF(AND($B215="Project",$J215=""),0,IF(IF($B215="Program",$V215,$J215)&gt;$K215*(1+Checks!$B$8),3,IF(IF($B215="Program",$V215,$J215)&gt;$K215,2,IF(AND($B215="Program",OR($W215&gt;0,$V215=0)),0,1)))))</f>
        <v/>
      </c>
      <c r="Z215" s="28">
        <f>IF($A215="",0,IF($C215="Portfolio",1,IF(AND($B215="Project",$C215&lt;&gt;"",$C215&lt;&gt;"Outside the portfolio"),IFERROR(IF(AND(INDEX($B$6:$B$305,MATCH($C215,$A$6:$A$305,0))="Program",INDEX($C$6:$C$305,MATCH($C215,$A$6:$A$305,0))="Portfolio"),1,0),0),0)))</f>
        <v/>
      </c>
      <c r="AA215" s="28">
        <f>IF(AND($A215&lt;&gt;"",$E215="",OR($Q215=1,$D215="Proposed")),1,0)</f>
        <v/>
      </c>
      <c r="AB215" s="28">
        <f>IF(AND($A215&lt;&gt;"",$B215="Program",$F215="",$Q215=1),1,0)</f>
        <v/>
      </c>
      <c r="AC215" s="28">
        <f>IF(OR($A215="",$D215="Completed",$D215="Terminated"),0,IF($C215="",1,IF($C215="Portfolio",0,IF($C215="Outside the portfolio",IF($Q215=1,2,0),IF($B215="Project",IF(IFERROR(INDEX($B$6:$B$305,MATCH($C215,$A$6:$A$305,0)),"")="Program",0,1),1)))))</f>
        <v/>
      </c>
      <c r="AD215" s="28">
        <f>IF(AND($A215&lt;&gt;"",OR($M215="■ Red",$M215="◧ Amber"),$L215=""),1,0)</f>
        <v/>
      </c>
      <c r="AE215" s="28">
        <f>$AA215+$AB215+IF($AC215&gt;0,1,0)+$AD215+$AG215+$AH215</f>
        <v/>
      </c>
      <c r="AF215" s="25" t="n"/>
      <c r="AG215" s="28">
        <f>IF(AND($A215&lt;&gt;"",$K215&lt;&gt;"",$C215&lt;&gt;"Portfolio",$D215&lt;&gt;"Completed",$D215&lt;&gt;"Terminated"),1,0)</f>
        <v/>
      </c>
      <c r="AH215" s="28">
        <f>IF(AND($A215&lt;&gt;"",COUNTIF($A$6:$A$305,$A215)&gt;1),1,0)</f>
        <v/>
      </c>
      <c r="AI215" s="28">
        <f>IF(AND($A215&lt;&gt;"",$C215="Portfolio"),COUNTIFS($C$6:$C215,"Portfolio",$A$6:$A215,"&lt;&gt;"),"")</f>
        <v/>
      </c>
    </row>
    <row r="216">
      <c r="A216" s="25" t="n"/>
      <c r="B216" s="25" t="n"/>
      <c r="C216" s="25" t="n"/>
      <c r="D216" s="25" t="n"/>
      <c r="E216" s="25" t="n"/>
      <c r="F216" s="25" t="n"/>
      <c r="G216" s="25" t="n"/>
      <c r="H216" s="26" t="n"/>
      <c r="I216" s="26" t="n"/>
      <c r="J216" s="27" t="n"/>
      <c r="K216" s="27" t="n"/>
      <c r="L216" s="23" t="n"/>
      <c r="M216" s="28">
        <f>IF($A216="","",IF($D216="","Not read",IF($Q216=0,"Not counted",IF(MAX($X216,$Y216)=3,"■ Red",IF(MAX($X216,$Y216)=2,"◧ Amber",IF(MAX($X216,$Y216)=1,"□ On track","Not read"))))))</f>
        <v/>
      </c>
      <c r="N216" s="28">
        <f>IF(OR($A216="",$B216&lt;&gt;"Program"),"","■ "&amp;COUNTIFS($C$6:$C$305,$A216,$M$6:$M$305,"■ Red")&amp;" Red, ◧ "&amp;COUNTIFS($C$6:$C$305,$A216,$M$6:$M$305,"◧ Amber")&amp;" Amber")</f>
        <v/>
      </c>
      <c r="O216" s="29">
        <f>IF(OR($A216="",$E216=""),"",COUNTIFS($E$6:$E$305,$E216,$D$6:$D$305,"Active")+COUNTIFS($E$6:$E$305,$E216,$D$6:$D$305,"Paused"))</f>
        <v/>
      </c>
      <c r="P216" s="28">
        <f>IF($A216="","",IF($AE216=0,"○ Clear",IF($AA216=1,"△ No owner",IF($AC216=1,"△ Check Sits under",IF($AC216=2,"△ Outside the portfolio",IF($AB216=1,"△ No sponsor",IF($AH216=1,"△ Name used twice",IF($AG216=1,"△ Budget only counts under Portfolio","△ No variance note"))))))&amp;IF($AE216&gt;1," (+"&amp;($AE216-1)&amp;" more)","")))</f>
        <v/>
      </c>
      <c r="Q216" s="28">
        <f>IF(AND($A216&lt;&gt;"",OR($D216="Active",$D216="Paused")),1,0)</f>
        <v/>
      </c>
      <c r="R216" s="28">
        <f>IFERROR(INDEX($A$6:$A$305,MATCH(209,$S$6:$S$305,0)),"")</f>
        <v/>
      </c>
      <c r="S216" s="28">
        <f>IF(AND($A216&lt;&gt;"",$B216="Program"),COUNTIFS($B$6:$B216,"Program",$A$6:$A216,"&lt;&gt;"),"")</f>
        <v/>
      </c>
      <c r="T216" s="30">
        <f>IF(AND($A216&lt;&gt;"",$B216="Program"),SUMPRODUCT(MAX(($C$6:$C$305=$A216)*($B$6:$B$305="Project")*($D$6:$D$305&lt;&gt;"Proposed")*$I$6:$I$305)),0)</f>
        <v/>
      </c>
      <c r="U216" s="30">
        <f>IF($I216&lt;&gt;"",$I216,IF($T216&gt;0,$T216,""))</f>
        <v/>
      </c>
      <c r="V216" s="28">
        <f>IF(AND($A216&lt;&gt;"",$B216="Program"),SUMIFS($J$6:$J$305,$C$6:$C$305,$A216,$B$6:$B$305,"Project",$D$6:$D$305,"&lt;&gt;Proposed"),0)</f>
        <v/>
      </c>
      <c r="W216" s="28">
        <f>IF(AND($A216&lt;&gt;"",$B216="Program"),COUNTIFS($C$6:$C$305,$A216,$B$6:$B$305,"Project",$D$6:$D$305,"&lt;&gt;Proposed")-COUNTIFS($C$6:$C$305,$A216,$B$6:$B$305,"Project",$D$6:$D$305,"&lt;&gt;Proposed",$J$6:$J$305,"&gt;=0"),0)</f>
        <v/>
      </c>
      <c r="X216" s="28">
        <f>IF(OR($Q216=0,$H216="",$AF216="Sprint"),0,IF(AND($B216="Project",$H216&lt;TODAY()),3,IF($U216="",0,IF($U216&lt;=$H216,1,IF(NETWORKDAYS($H216,$U216)-1&gt;IF($B216="Program",Checks!$B$7,Checks!$B$6),3,2)))))</f>
        <v/>
      </c>
      <c r="Y216" s="28">
        <f>IF(OR($Q216=0,$K216="",$K216=0,$AF216="Sprint"),0,IF(AND($B216="Project",$J216=""),0,IF(IF($B216="Program",$V216,$J216)&gt;$K216*(1+Checks!$B$8),3,IF(IF($B216="Program",$V216,$J216)&gt;$K216,2,IF(AND($B216="Program",OR($W216&gt;0,$V216=0)),0,1)))))</f>
        <v/>
      </c>
      <c r="Z216" s="28">
        <f>IF($A216="",0,IF($C216="Portfolio",1,IF(AND($B216="Project",$C216&lt;&gt;"",$C216&lt;&gt;"Outside the portfolio"),IFERROR(IF(AND(INDEX($B$6:$B$305,MATCH($C216,$A$6:$A$305,0))="Program",INDEX($C$6:$C$305,MATCH($C216,$A$6:$A$305,0))="Portfolio"),1,0),0),0)))</f>
        <v/>
      </c>
      <c r="AA216" s="28">
        <f>IF(AND($A216&lt;&gt;"",$E216="",OR($Q216=1,$D216="Proposed")),1,0)</f>
        <v/>
      </c>
      <c r="AB216" s="28">
        <f>IF(AND($A216&lt;&gt;"",$B216="Program",$F216="",$Q216=1),1,0)</f>
        <v/>
      </c>
      <c r="AC216" s="28">
        <f>IF(OR($A216="",$D216="Completed",$D216="Terminated"),0,IF($C216="",1,IF($C216="Portfolio",0,IF($C216="Outside the portfolio",IF($Q216=1,2,0),IF($B216="Project",IF(IFERROR(INDEX($B$6:$B$305,MATCH($C216,$A$6:$A$305,0)),"")="Program",0,1),1)))))</f>
        <v/>
      </c>
      <c r="AD216" s="28">
        <f>IF(AND($A216&lt;&gt;"",OR($M216="■ Red",$M216="◧ Amber"),$L216=""),1,0)</f>
        <v/>
      </c>
      <c r="AE216" s="28">
        <f>$AA216+$AB216+IF($AC216&gt;0,1,0)+$AD216+$AG216+$AH216</f>
        <v/>
      </c>
      <c r="AF216" s="25" t="n"/>
      <c r="AG216" s="28">
        <f>IF(AND($A216&lt;&gt;"",$K216&lt;&gt;"",$C216&lt;&gt;"Portfolio",$D216&lt;&gt;"Completed",$D216&lt;&gt;"Terminated"),1,0)</f>
        <v/>
      </c>
      <c r="AH216" s="28">
        <f>IF(AND($A216&lt;&gt;"",COUNTIF($A$6:$A$305,$A216)&gt;1),1,0)</f>
        <v/>
      </c>
      <c r="AI216" s="28">
        <f>IF(AND($A216&lt;&gt;"",$C216="Portfolio"),COUNTIFS($C$6:$C216,"Portfolio",$A$6:$A216,"&lt;&gt;"),"")</f>
        <v/>
      </c>
    </row>
    <row r="217">
      <c r="A217" s="25" t="n"/>
      <c r="B217" s="25" t="n"/>
      <c r="C217" s="25" t="n"/>
      <c r="D217" s="25" t="n"/>
      <c r="E217" s="25" t="n"/>
      <c r="F217" s="25" t="n"/>
      <c r="G217" s="25" t="n"/>
      <c r="H217" s="26" t="n"/>
      <c r="I217" s="26" t="n"/>
      <c r="J217" s="27" t="n"/>
      <c r="K217" s="27" t="n"/>
      <c r="L217" s="23" t="n"/>
      <c r="M217" s="28">
        <f>IF($A217="","",IF($D217="","Not read",IF($Q217=0,"Not counted",IF(MAX($X217,$Y217)=3,"■ Red",IF(MAX($X217,$Y217)=2,"◧ Amber",IF(MAX($X217,$Y217)=1,"□ On track","Not read"))))))</f>
        <v/>
      </c>
      <c r="N217" s="28">
        <f>IF(OR($A217="",$B217&lt;&gt;"Program"),"","■ "&amp;COUNTIFS($C$6:$C$305,$A217,$M$6:$M$305,"■ Red")&amp;" Red, ◧ "&amp;COUNTIFS($C$6:$C$305,$A217,$M$6:$M$305,"◧ Amber")&amp;" Amber")</f>
        <v/>
      </c>
      <c r="O217" s="29">
        <f>IF(OR($A217="",$E217=""),"",COUNTIFS($E$6:$E$305,$E217,$D$6:$D$305,"Active")+COUNTIFS($E$6:$E$305,$E217,$D$6:$D$305,"Paused"))</f>
        <v/>
      </c>
      <c r="P217" s="28">
        <f>IF($A217="","",IF($AE217=0,"○ Clear",IF($AA217=1,"△ No owner",IF($AC217=1,"△ Check Sits under",IF($AC217=2,"△ Outside the portfolio",IF($AB217=1,"△ No sponsor",IF($AH217=1,"△ Name used twice",IF($AG217=1,"△ Budget only counts under Portfolio","△ No variance note"))))))&amp;IF($AE217&gt;1," (+"&amp;($AE217-1)&amp;" more)","")))</f>
        <v/>
      </c>
      <c r="Q217" s="28">
        <f>IF(AND($A217&lt;&gt;"",OR($D217="Active",$D217="Paused")),1,0)</f>
        <v/>
      </c>
      <c r="R217" s="28">
        <f>IFERROR(INDEX($A$6:$A$305,MATCH(210,$S$6:$S$305,0)),"")</f>
        <v/>
      </c>
      <c r="S217" s="28">
        <f>IF(AND($A217&lt;&gt;"",$B217="Program"),COUNTIFS($B$6:$B217,"Program",$A$6:$A217,"&lt;&gt;"),"")</f>
        <v/>
      </c>
      <c r="T217" s="30">
        <f>IF(AND($A217&lt;&gt;"",$B217="Program"),SUMPRODUCT(MAX(($C$6:$C$305=$A217)*($B$6:$B$305="Project")*($D$6:$D$305&lt;&gt;"Proposed")*$I$6:$I$305)),0)</f>
        <v/>
      </c>
      <c r="U217" s="30">
        <f>IF($I217&lt;&gt;"",$I217,IF($T217&gt;0,$T217,""))</f>
        <v/>
      </c>
      <c r="V217" s="28">
        <f>IF(AND($A217&lt;&gt;"",$B217="Program"),SUMIFS($J$6:$J$305,$C$6:$C$305,$A217,$B$6:$B$305,"Project",$D$6:$D$305,"&lt;&gt;Proposed"),0)</f>
        <v/>
      </c>
      <c r="W217" s="28">
        <f>IF(AND($A217&lt;&gt;"",$B217="Program"),COUNTIFS($C$6:$C$305,$A217,$B$6:$B$305,"Project",$D$6:$D$305,"&lt;&gt;Proposed")-COUNTIFS($C$6:$C$305,$A217,$B$6:$B$305,"Project",$D$6:$D$305,"&lt;&gt;Proposed",$J$6:$J$305,"&gt;=0"),0)</f>
        <v/>
      </c>
      <c r="X217" s="28">
        <f>IF(OR($Q217=0,$H217="",$AF217="Sprint"),0,IF(AND($B217="Project",$H217&lt;TODAY()),3,IF($U217="",0,IF($U217&lt;=$H217,1,IF(NETWORKDAYS($H217,$U217)-1&gt;IF($B217="Program",Checks!$B$7,Checks!$B$6),3,2)))))</f>
        <v/>
      </c>
      <c r="Y217" s="28">
        <f>IF(OR($Q217=0,$K217="",$K217=0,$AF217="Sprint"),0,IF(AND($B217="Project",$J217=""),0,IF(IF($B217="Program",$V217,$J217)&gt;$K217*(1+Checks!$B$8),3,IF(IF($B217="Program",$V217,$J217)&gt;$K217,2,IF(AND($B217="Program",OR($W217&gt;0,$V217=0)),0,1)))))</f>
        <v/>
      </c>
      <c r="Z217" s="28">
        <f>IF($A217="",0,IF($C217="Portfolio",1,IF(AND($B217="Project",$C217&lt;&gt;"",$C217&lt;&gt;"Outside the portfolio"),IFERROR(IF(AND(INDEX($B$6:$B$305,MATCH($C217,$A$6:$A$305,0))="Program",INDEX($C$6:$C$305,MATCH($C217,$A$6:$A$305,0))="Portfolio"),1,0),0),0)))</f>
        <v/>
      </c>
      <c r="AA217" s="28">
        <f>IF(AND($A217&lt;&gt;"",$E217="",OR($Q217=1,$D217="Proposed")),1,0)</f>
        <v/>
      </c>
      <c r="AB217" s="28">
        <f>IF(AND($A217&lt;&gt;"",$B217="Program",$F217="",$Q217=1),1,0)</f>
        <v/>
      </c>
      <c r="AC217" s="28">
        <f>IF(OR($A217="",$D217="Completed",$D217="Terminated"),0,IF($C217="",1,IF($C217="Portfolio",0,IF($C217="Outside the portfolio",IF($Q217=1,2,0),IF($B217="Project",IF(IFERROR(INDEX($B$6:$B$305,MATCH($C217,$A$6:$A$305,0)),"")="Program",0,1),1)))))</f>
        <v/>
      </c>
      <c r="AD217" s="28">
        <f>IF(AND($A217&lt;&gt;"",OR($M217="■ Red",$M217="◧ Amber"),$L217=""),1,0)</f>
        <v/>
      </c>
      <c r="AE217" s="28">
        <f>$AA217+$AB217+IF($AC217&gt;0,1,0)+$AD217+$AG217+$AH217</f>
        <v/>
      </c>
      <c r="AF217" s="25" t="n"/>
      <c r="AG217" s="28">
        <f>IF(AND($A217&lt;&gt;"",$K217&lt;&gt;"",$C217&lt;&gt;"Portfolio",$D217&lt;&gt;"Completed",$D217&lt;&gt;"Terminated"),1,0)</f>
        <v/>
      </c>
      <c r="AH217" s="28">
        <f>IF(AND($A217&lt;&gt;"",COUNTIF($A$6:$A$305,$A217)&gt;1),1,0)</f>
        <v/>
      </c>
      <c r="AI217" s="28">
        <f>IF(AND($A217&lt;&gt;"",$C217="Portfolio"),COUNTIFS($C$6:$C217,"Portfolio",$A$6:$A217,"&lt;&gt;"),"")</f>
        <v/>
      </c>
    </row>
    <row r="218">
      <c r="A218" s="25" t="n"/>
      <c r="B218" s="25" t="n"/>
      <c r="C218" s="25" t="n"/>
      <c r="D218" s="25" t="n"/>
      <c r="E218" s="25" t="n"/>
      <c r="F218" s="25" t="n"/>
      <c r="G218" s="25" t="n"/>
      <c r="H218" s="26" t="n"/>
      <c r="I218" s="26" t="n"/>
      <c r="J218" s="27" t="n"/>
      <c r="K218" s="27" t="n"/>
      <c r="L218" s="23" t="n"/>
      <c r="M218" s="28">
        <f>IF($A218="","",IF($D218="","Not read",IF($Q218=0,"Not counted",IF(MAX($X218,$Y218)=3,"■ Red",IF(MAX($X218,$Y218)=2,"◧ Amber",IF(MAX($X218,$Y218)=1,"□ On track","Not read"))))))</f>
        <v/>
      </c>
      <c r="N218" s="28">
        <f>IF(OR($A218="",$B218&lt;&gt;"Program"),"","■ "&amp;COUNTIFS($C$6:$C$305,$A218,$M$6:$M$305,"■ Red")&amp;" Red, ◧ "&amp;COUNTIFS($C$6:$C$305,$A218,$M$6:$M$305,"◧ Amber")&amp;" Amber")</f>
        <v/>
      </c>
      <c r="O218" s="29">
        <f>IF(OR($A218="",$E218=""),"",COUNTIFS($E$6:$E$305,$E218,$D$6:$D$305,"Active")+COUNTIFS($E$6:$E$305,$E218,$D$6:$D$305,"Paused"))</f>
        <v/>
      </c>
      <c r="P218" s="28">
        <f>IF($A218="","",IF($AE218=0,"○ Clear",IF($AA218=1,"△ No owner",IF($AC218=1,"△ Check Sits under",IF($AC218=2,"△ Outside the portfolio",IF($AB218=1,"△ No sponsor",IF($AH218=1,"△ Name used twice",IF($AG218=1,"△ Budget only counts under Portfolio","△ No variance note"))))))&amp;IF($AE218&gt;1," (+"&amp;($AE218-1)&amp;" more)","")))</f>
        <v/>
      </c>
      <c r="Q218" s="28">
        <f>IF(AND($A218&lt;&gt;"",OR($D218="Active",$D218="Paused")),1,0)</f>
        <v/>
      </c>
      <c r="R218" s="28">
        <f>IFERROR(INDEX($A$6:$A$305,MATCH(211,$S$6:$S$305,0)),"")</f>
        <v/>
      </c>
      <c r="S218" s="28">
        <f>IF(AND($A218&lt;&gt;"",$B218="Program"),COUNTIFS($B$6:$B218,"Program",$A$6:$A218,"&lt;&gt;"),"")</f>
        <v/>
      </c>
      <c r="T218" s="30">
        <f>IF(AND($A218&lt;&gt;"",$B218="Program"),SUMPRODUCT(MAX(($C$6:$C$305=$A218)*($B$6:$B$305="Project")*($D$6:$D$305&lt;&gt;"Proposed")*$I$6:$I$305)),0)</f>
        <v/>
      </c>
      <c r="U218" s="30">
        <f>IF($I218&lt;&gt;"",$I218,IF($T218&gt;0,$T218,""))</f>
        <v/>
      </c>
      <c r="V218" s="28">
        <f>IF(AND($A218&lt;&gt;"",$B218="Program"),SUMIFS($J$6:$J$305,$C$6:$C$305,$A218,$B$6:$B$305,"Project",$D$6:$D$305,"&lt;&gt;Proposed"),0)</f>
        <v/>
      </c>
      <c r="W218" s="28">
        <f>IF(AND($A218&lt;&gt;"",$B218="Program"),COUNTIFS($C$6:$C$305,$A218,$B$6:$B$305,"Project",$D$6:$D$305,"&lt;&gt;Proposed")-COUNTIFS($C$6:$C$305,$A218,$B$6:$B$305,"Project",$D$6:$D$305,"&lt;&gt;Proposed",$J$6:$J$305,"&gt;=0"),0)</f>
        <v/>
      </c>
      <c r="X218" s="28">
        <f>IF(OR($Q218=0,$H218="",$AF218="Sprint"),0,IF(AND($B218="Project",$H218&lt;TODAY()),3,IF($U218="",0,IF($U218&lt;=$H218,1,IF(NETWORKDAYS($H218,$U218)-1&gt;IF($B218="Program",Checks!$B$7,Checks!$B$6),3,2)))))</f>
        <v/>
      </c>
      <c r="Y218" s="28">
        <f>IF(OR($Q218=0,$K218="",$K218=0,$AF218="Sprint"),0,IF(AND($B218="Project",$J218=""),0,IF(IF($B218="Program",$V218,$J218)&gt;$K218*(1+Checks!$B$8),3,IF(IF($B218="Program",$V218,$J218)&gt;$K218,2,IF(AND($B218="Program",OR($W218&gt;0,$V218=0)),0,1)))))</f>
        <v/>
      </c>
      <c r="Z218" s="28">
        <f>IF($A218="",0,IF($C218="Portfolio",1,IF(AND($B218="Project",$C218&lt;&gt;"",$C218&lt;&gt;"Outside the portfolio"),IFERROR(IF(AND(INDEX($B$6:$B$305,MATCH($C218,$A$6:$A$305,0))="Program",INDEX($C$6:$C$305,MATCH($C218,$A$6:$A$305,0))="Portfolio"),1,0),0),0)))</f>
        <v/>
      </c>
      <c r="AA218" s="28">
        <f>IF(AND($A218&lt;&gt;"",$E218="",OR($Q218=1,$D218="Proposed")),1,0)</f>
        <v/>
      </c>
      <c r="AB218" s="28">
        <f>IF(AND($A218&lt;&gt;"",$B218="Program",$F218="",$Q218=1),1,0)</f>
        <v/>
      </c>
      <c r="AC218" s="28">
        <f>IF(OR($A218="",$D218="Completed",$D218="Terminated"),0,IF($C218="",1,IF($C218="Portfolio",0,IF($C218="Outside the portfolio",IF($Q218=1,2,0),IF($B218="Project",IF(IFERROR(INDEX($B$6:$B$305,MATCH($C218,$A$6:$A$305,0)),"")="Program",0,1),1)))))</f>
        <v/>
      </c>
      <c r="AD218" s="28">
        <f>IF(AND($A218&lt;&gt;"",OR($M218="■ Red",$M218="◧ Amber"),$L218=""),1,0)</f>
        <v/>
      </c>
      <c r="AE218" s="28">
        <f>$AA218+$AB218+IF($AC218&gt;0,1,0)+$AD218+$AG218+$AH218</f>
        <v/>
      </c>
      <c r="AF218" s="25" t="n"/>
      <c r="AG218" s="28">
        <f>IF(AND($A218&lt;&gt;"",$K218&lt;&gt;"",$C218&lt;&gt;"Portfolio",$D218&lt;&gt;"Completed",$D218&lt;&gt;"Terminated"),1,0)</f>
        <v/>
      </c>
      <c r="AH218" s="28">
        <f>IF(AND($A218&lt;&gt;"",COUNTIF($A$6:$A$305,$A218)&gt;1),1,0)</f>
        <v/>
      </c>
      <c r="AI218" s="28">
        <f>IF(AND($A218&lt;&gt;"",$C218="Portfolio"),COUNTIFS($C$6:$C218,"Portfolio",$A$6:$A218,"&lt;&gt;"),"")</f>
        <v/>
      </c>
    </row>
    <row r="219">
      <c r="A219" s="25" t="n"/>
      <c r="B219" s="25" t="n"/>
      <c r="C219" s="25" t="n"/>
      <c r="D219" s="25" t="n"/>
      <c r="E219" s="25" t="n"/>
      <c r="F219" s="25" t="n"/>
      <c r="G219" s="25" t="n"/>
      <c r="H219" s="26" t="n"/>
      <c r="I219" s="26" t="n"/>
      <c r="J219" s="27" t="n"/>
      <c r="K219" s="27" t="n"/>
      <c r="L219" s="23" t="n"/>
      <c r="M219" s="28">
        <f>IF($A219="","",IF($D219="","Not read",IF($Q219=0,"Not counted",IF(MAX($X219,$Y219)=3,"■ Red",IF(MAX($X219,$Y219)=2,"◧ Amber",IF(MAX($X219,$Y219)=1,"□ On track","Not read"))))))</f>
        <v/>
      </c>
      <c r="N219" s="28">
        <f>IF(OR($A219="",$B219&lt;&gt;"Program"),"","■ "&amp;COUNTIFS($C$6:$C$305,$A219,$M$6:$M$305,"■ Red")&amp;" Red, ◧ "&amp;COUNTIFS($C$6:$C$305,$A219,$M$6:$M$305,"◧ Amber")&amp;" Amber")</f>
        <v/>
      </c>
      <c r="O219" s="29">
        <f>IF(OR($A219="",$E219=""),"",COUNTIFS($E$6:$E$305,$E219,$D$6:$D$305,"Active")+COUNTIFS($E$6:$E$305,$E219,$D$6:$D$305,"Paused"))</f>
        <v/>
      </c>
      <c r="P219" s="28">
        <f>IF($A219="","",IF($AE219=0,"○ Clear",IF($AA219=1,"△ No owner",IF($AC219=1,"△ Check Sits under",IF($AC219=2,"△ Outside the portfolio",IF($AB219=1,"△ No sponsor",IF($AH219=1,"△ Name used twice",IF($AG219=1,"△ Budget only counts under Portfolio","△ No variance note"))))))&amp;IF($AE219&gt;1," (+"&amp;($AE219-1)&amp;" more)","")))</f>
        <v/>
      </c>
      <c r="Q219" s="28">
        <f>IF(AND($A219&lt;&gt;"",OR($D219="Active",$D219="Paused")),1,0)</f>
        <v/>
      </c>
      <c r="R219" s="28">
        <f>IFERROR(INDEX($A$6:$A$305,MATCH(212,$S$6:$S$305,0)),"")</f>
        <v/>
      </c>
      <c r="S219" s="28">
        <f>IF(AND($A219&lt;&gt;"",$B219="Program"),COUNTIFS($B$6:$B219,"Program",$A$6:$A219,"&lt;&gt;"),"")</f>
        <v/>
      </c>
      <c r="T219" s="30">
        <f>IF(AND($A219&lt;&gt;"",$B219="Program"),SUMPRODUCT(MAX(($C$6:$C$305=$A219)*($B$6:$B$305="Project")*($D$6:$D$305&lt;&gt;"Proposed")*$I$6:$I$305)),0)</f>
        <v/>
      </c>
      <c r="U219" s="30">
        <f>IF($I219&lt;&gt;"",$I219,IF($T219&gt;0,$T219,""))</f>
        <v/>
      </c>
      <c r="V219" s="28">
        <f>IF(AND($A219&lt;&gt;"",$B219="Program"),SUMIFS($J$6:$J$305,$C$6:$C$305,$A219,$B$6:$B$305,"Project",$D$6:$D$305,"&lt;&gt;Proposed"),0)</f>
        <v/>
      </c>
      <c r="W219" s="28">
        <f>IF(AND($A219&lt;&gt;"",$B219="Program"),COUNTIFS($C$6:$C$305,$A219,$B$6:$B$305,"Project",$D$6:$D$305,"&lt;&gt;Proposed")-COUNTIFS($C$6:$C$305,$A219,$B$6:$B$305,"Project",$D$6:$D$305,"&lt;&gt;Proposed",$J$6:$J$305,"&gt;=0"),0)</f>
        <v/>
      </c>
      <c r="X219" s="28">
        <f>IF(OR($Q219=0,$H219="",$AF219="Sprint"),0,IF(AND($B219="Project",$H219&lt;TODAY()),3,IF($U219="",0,IF($U219&lt;=$H219,1,IF(NETWORKDAYS($H219,$U219)-1&gt;IF($B219="Program",Checks!$B$7,Checks!$B$6),3,2)))))</f>
        <v/>
      </c>
      <c r="Y219" s="28">
        <f>IF(OR($Q219=0,$K219="",$K219=0,$AF219="Sprint"),0,IF(AND($B219="Project",$J219=""),0,IF(IF($B219="Program",$V219,$J219)&gt;$K219*(1+Checks!$B$8),3,IF(IF($B219="Program",$V219,$J219)&gt;$K219,2,IF(AND($B219="Program",OR($W219&gt;0,$V219=0)),0,1)))))</f>
        <v/>
      </c>
      <c r="Z219" s="28">
        <f>IF($A219="",0,IF($C219="Portfolio",1,IF(AND($B219="Project",$C219&lt;&gt;"",$C219&lt;&gt;"Outside the portfolio"),IFERROR(IF(AND(INDEX($B$6:$B$305,MATCH($C219,$A$6:$A$305,0))="Program",INDEX($C$6:$C$305,MATCH($C219,$A$6:$A$305,0))="Portfolio"),1,0),0),0)))</f>
        <v/>
      </c>
      <c r="AA219" s="28">
        <f>IF(AND($A219&lt;&gt;"",$E219="",OR($Q219=1,$D219="Proposed")),1,0)</f>
        <v/>
      </c>
      <c r="AB219" s="28">
        <f>IF(AND($A219&lt;&gt;"",$B219="Program",$F219="",$Q219=1),1,0)</f>
        <v/>
      </c>
      <c r="AC219" s="28">
        <f>IF(OR($A219="",$D219="Completed",$D219="Terminated"),0,IF($C219="",1,IF($C219="Portfolio",0,IF($C219="Outside the portfolio",IF($Q219=1,2,0),IF($B219="Project",IF(IFERROR(INDEX($B$6:$B$305,MATCH($C219,$A$6:$A$305,0)),"")="Program",0,1),1)))))</f>
        <v/>
      </c>
      <c r="AD219" s="28">
        <f>IF(AND($A219&lt;&gt;"",OR($M219="■ Red",$M219="◧ Amber"),$L219=""),1,0)</f>
        <v/>
      </c>
      <c r="AE219" s="28">
        <f>$AA219+$AB219+IF($AC219&gt;0,1,0)+$AD219+$AG219+$AH219</f>
        <v/>
      </c>
      <c r="AF219" s="25" t="n"/>
      <c r="AG219" s="28">
        <f>IF(AND($A219&lt;&gt;"",$K219&lt;&gt;"",$C219&lt;&gt;"Portfolio",$D219&lt;&gt;"Completed",$D219&lt;&gt;"Terminated"),1,0)</f>
        <v/>
      </c>
      <c r="AH219" s="28">
        <f>IF(AND($A219&lt;&gt;"",COUNTIF($A$6:$A$305,$A219)&gt;1),1,0)</f>
        <v/>
      </c>
      <c r="AI219" s="28">
        <f>IF(AND($A219&lt;&gt;"",$C219="Portfolio"),COUNTIFS($C$6:$C219,"Portfolio",$A$6:$A219,"&lt;&gt;"),"")</f>
        <v/>
      </c>
    </row>
    <row r="220">
      <c r="A220" s="25" t="n"/>
      <c r="B220" s="25" t="n"/>
      <c r="C220" s="25" t="n"/>
      <c r="D220" s="25" t="n"/>
      <c r="E220" s="25" t="n"/>
      <c r="F220" s="25" t="n"/>
      <c r="G220" s="25" t="n"/>
      <c r="H220" s="26" t="n"/>
      <c r="I220" s="26" t="n"/>
      <c r="J220" s="27" t="n"/>
      <c r="K220" s="27" t="n"/>
      <c r="L220" s="23" t="n"/>
      <c r="M220" s="28">
        <f>IF($A220="","",IF($D220="","Not read",IF($Q220=0,"Not counted",IF(MAX($X220,$Y220)=3,"■ Red",IF(MAX($X220,$Y220)=2,"◧ Amber",IF(MAX($X220,$Y220)=1,"□ On track","Not read"))))))</f>
        <v/>
      </c>
      <c r="N220" s="28">
        <f>IF(OR($A220="",$B220&lt;&gt;"Program"),"","■ "&amp;COUNTIFS($C$6:$C$305,$A220,$M$6:$M$305,"■ Red")&amp;" Red, ◧ "&amp;COUNTIFS($C$6:$C$305,$A220,$M$6:$M$305,"◧ Amber")&amp;" Amber")</f>
        <v/>
      </c>
      <c r="O220" s="29">
        <f>IF(OR($A220="",$E220=""),"",COUNTIFS($E$6:$E$305,$E220,$D$6:$D$305,"Active")+COUNTIFS($E$6:$E$305,$E220,$D$6:$D$305,"Paused"))</f>
        <v/>
      </c>
      <c r="P220" s="28">
        <f>IF($A220="","",IF($AE220=0,"○ Clear",IF($AA220=1,"△ No owner",IF($AC220=1,"△ Check Sits under",IF($AC220=2,"△ Outside the portfolio",IF($AB220=1,"△ No sponsor",IF($AH220=1,"△ Name used twice",IF($AG220=1,"△ Budget only counts under Portfolio","△ No variance note"))))))&amp;IF($AE220&gt;1," (+"&amp;($AE220-1)&amp;" more)","")))</f>
        <v/>
      </c>
      <c r="Q220" s="28">
        <f>IF(AND($A220&lt;&gt;"",OR($D220="Active",$D220="Paused")),1,0)</f>
        <v/>
      </c>
      <c r="R220" s="28">
        <f>IFERROR(INDEX($A$6:$A$305,MATCH(213,$S$6:$S$305,0)),"")</f>
        <v/>
      </c>
      <c r="S220" s="28">
        <f>IF(AND($A220&lt;&gt;"",$B220="Program"),COUNTIFS($B$6:$B220,"Program",$A$6:$A220,"&lt;&gt;"),"")</f>
        <v/>
      </c>
      <c r="T220" s="30">
        <f>IF(AND($A220&lt;&gt;"",$B220="Program"),SUMPRODUCT(MAX(($C$6:$C$305=$A220)*($B$6:$B$305="Project")*($D$6:$D$305&lt;&gt;"Proposed")*$I$6:$I$305)),0)</f>
        <v/>
      </c>
      <c r="U220" s="30">
        <f>IF($I220&lt;&gt;"",$I220,IF($T220&gt;0,$T220,""))</f>
        <v/>
      </c>
      <c r="V220" s="28">
        <f>IF(AND($A220&lt;&gt;"",$B220="Program"),SUMIFS($J$6:$J$305,$C$6:$C$305,$A220,$B$6:$B$305,"Project",$D$6:$D$305,"&lt;&gt;Proposed"),0)</f>
        <v/>
      </c>
      <c r="W220" s="28">
        <f>IF(AND($A220&lt;&gt;"",$B220="Program"),COUNTIFS($C$6:$C$305,$A220,$B$6:$B$305,"Project",$D$6:$D$305,"&lt;&gt;Proposed")-COUNTIFS($C$6:$C$305,$A220,$B$6:$B$305,"Project",$D$6:$D$305,"&lt;&gt;Proposed",$J$6:$J$305,"&gt;=0"),0)</f>
        <v/>
      </c>
      <c r="X220" s="28">
        <f>IF(OR($Q220=0,$H220="",$AF220="Sprint"),0,IF(AND($B220="Project",$H220&lt;TODAY()),3,IF($U220="",0,IF($U220&lt;=$H220,1,IF(NETWORKDAYS($H220,$U220)-1&gt;IF($B220="Program",Checks!$B$7,Checks!$B$6),3,2)))))</f>
        <v/>
      </c>
      <c r="Y220" s="28">
        <f>IF(OR($Q220=0,$K220="",$K220=0,$AF220="Sprint"),0,IF(AND($B220="Project",$J220=""),0,IF(IF($B220="Program",$V220,$J220)&gt;$K220*(1+Checks!$B$8),3,IF(IF($B220="Program",$V220,$J220)&gt;$K220,2,IF(AND($B220="Program",OR($W220&gt;0,$V220=0)),0,1)))))</f>
        <v/>
      </c>
      <c r="Z220" s="28">
        <f>IF($A220="",0,IF($C220="Portfolio",1,IF(AND($B220="Project",$C220&lt;&gt;"",$C220&lt;&gt;"Outside the portfolio"),IFERROR(IF(AND(INDEX($B$6:$B$305,MATCH($C220,$A$6:$A$305,0))="Program",INDEX($C$6:$C$305,MATCH($C220,$A$6:$A$305,0))="Portfolio"),1,0),0),0)))</f>
        <v/>
      </c>
      <c r="AA220" s="28">
        <f>IF(AND($A220&lt;&gt;"",$E220="",OR($Q220=1,$D220="Proposed")),1,0)</f>
        <v/>
      </c>
      <c r="AB220" s="28">
        <f>IF(AND($A220&lt;&gt;"",$B220="Program",$F220="",$Q220=1),1,0)</f>
        <v/>
      </c>
      <c r="AC220" s="28">
        <f>IF(OR($A220="",$D220="Completed",$D220="Terminated"),0,IF($C220="",1,IF($C220="Portfolio",0,IF($C220="Outside the portfolio",IF($Q220=1,2,0),IF($B220="Project",IF(IFERROR(INDEX($B$6:$B$305,MATCH($C220,$A$6:$A$305,0)),"")="Program",0,1),1)))))</f>
        <v/>
      </c>
      <c r="AD220" s="28">
        <f>IF(AND($A220&lt;&gt;"",OR($M220="■ Red",$M220="◧ Amber"),$L220=""),1,0)</f>
        <v/>
      </c>
      <c r="AE220" s="28">
        <f>$AA220+$AB220+IF($AC220&gt;0,1,0)+$AD220+$AG220+$AH220</f>
        <v/>
      </c>
      <c r="AF220" s="25" t="n"/>
      <c r="AG220" s="28">
        <f>IF(AND($A220&lt;&gt;"",$K220&lt;&gt;"",$C220&lt;&gt;"Portfolio",$D220&lt;&gt;"Completed",$D220&lt;&gt;"Terminated"),1,0)</f>
        <v/>
      </c>
      <c r="AH220" s="28">
        <f>IF(AND($A220&lt;&gt;"",COUNTIF($A$6:$A$305,$A220)&gt;1),1,0)</f>
        <v/>
      </c>
      <c r="AI220" s="28">
        <f>IF(AND($A220&lt;&gt;"",$C220="Portfolio"),COUNTIFS($C$6:$C220,"Portfolio",$A$6:$A220,"&lt;&gt;"),"")</f>
        <v/>
      </c>
    </row>
    <row r="221">
      <c r="A221" s="25" t="n"/>
      <c r="B221" s="25" t="n"/>
      <c r="C221" s="25" t="n"/>
      <c r="D221" s="25" t="n"/>
      <c r="E221" s="25" t="n"/>
      <c r="F221" s="25" t="n"/>
      <c r="G221" s="25" t="n"/>
      <c r="H221" s="26" t="n"/>
      <c r="I221" s="26" t="n"/>
      <c r="J221" s="27" t="n"/>
      <c r="K221" s="27" t="n"/>
      <c r="L221" s="23" t="n"/>
      <c r="M221" s="28">
        <f>IF($A221="","",IF($D221="","Not read",IF($Q221=0,"Not counted",IF(MAX($X221,$Y221)=3,"■ Red",IF(MAX($X221,$Y221)=2,"◧ Amber",IF(MAX($X221,$Y221)=1,"□ On track","Not read"))))))</f>
        <v/>
      </c>
      <c r="N221" s="28">
        <f>IF(OR($A221="",$B221&lt;&gt;"Program"),"","■ "&amp;COUNTIFS($C$6:$C$305,$A221,$M$6:$M$305,"■ Red")&amp;" Red, ◧ "&amp;COUNTIFS($C$6:$C$305,$A221,$M$6:$M$305,"◧ Amber")&amp;" Amber")</f>
        <v/>
      </c>
      <c r="O221" s="29">
        <f>IF(OR($A221="",$E221=""),"",COUNTIFS($E$6:$E$305,$E221,$D$6:$D$305,"Active")+COUNTIFS($E$6:$E$305,$E221,$D$6:$D$305,"Paused"))</f>
        <v/>
      </c>
      <c r="P221" s="28">
        <f>IF($A221="","",IF($AE221=0,"○ Clear",IF($AA221=1,"△ No owner",IF($AC221=1,"△ Check Sits under",IF($AC221=2,"△ Outside the portfolio",IF($AB221=1,"△ No sponsor",IF($AH221=1,"△ Name used twice",IF($AG221=1,"△ Budget only counts under Portfolio","△ No variance note"))))))&amp;IF($AE221&gt;1," (+"&amp;($AE221-1)&amp;" more)","")))</f>
        <v/>
      </c>
      <c r="Q221" s="28">
        <f>IF(AND($A221&lt;&gt;"",OR($D221="Active",$D221="Paused")),1,0)</f>
        <v/>
      </c>
      <c r="R221" s="28">
        <f>IFERROR(INDEX($A$6:$A$305,MATCH(214,$S$6:$S$305,0)),"")</f>
        <v/>
      </c>
      <c r="S221" s="28">
        <f>IF(AND($A221&lt;&gt;"",$B221="Program"),COUNTIFS($B$6:$B221,"Program",$A$6:$A221,"&lt;&gt;"),"")</f>
        <v/>
      </c>
      <c r="T221" s="30">
        <f>IF(AND($A221&lt;&gt;"",$B221="Program"),SUMPRODUCT(MAX(($C$6:$C$305=$A221)*($B$6:$B$305="Project")*($D$6:$D$305&lt;&gt;"Proposed")*$I$6:$I$305)),0)</f>
        <v/>
      </c>
      <c r="U221" s="30">
        <f>IF($I221&lt;&gt;"",$I221,IF($T221&gt;0,$T221,""))</f>
        <v/>
      </c>
      <c r="V221" s="28">
        <f>IF(AND($A221&lt;&gt;"",$B221="Program"),SUMIFS($J$6:$J$305,$C$6:$C$305,$A221,$B$6:$B$305,"Project",$D$6:$D$305,"&lt;&gt;Proposed"),0)</f>
        <v/>
      </c>
      <c r="W221" s="28">
        <f>IF(AND($A221&lt;&gt;"",$B221="Program"),COUNTIFS($C$6:$C$305,$A221,$B$6:$B$305,"Project",$D$6:$D$305,"&lt;&gt;Proposed")-COUNTIFS($C$6:$C$305,$A221,$B$6:$B$305,"Project",$D$6:$D$305,"&lt;&gt;Proposed",$J$6:$J$305,"&gt;=0"),0)</f>
        <v/>
      </c>
      <c r="X221" s="28">
        <f>IF(OR($Q221=0,$H221="",$AF221="Sprint"),0,IF(AND($B221="Project",$H221&lt;TODAY()),3,IF($U221="",0,IF($U221&lt;=$H221,1,IF(NETWORKDAYS($H221,$U221)-1&gt;IF($B221="Program",Checks!$B$7,Checks!$B$6),3,2)))))</f>
        <v/>
      </c>
      <c r="Y221" s="28">
        <f>IF(OR($Q221=0,$K221="",$K221=0,$AF221="Sprint"),0,IF(AND($B221="Project",$J221=""),0,IF(IF($B221="Program",$V221,$J221)&gt;$K221*(1+Checks!$B$8),3,IF(IF($B221="Program",$V221,$J221)&gt;$K221,2,IF(AND($B221="Program",OR($W221&gt;0,$V221=0)),0,1)))))</f>
        <v/>
      </c>
      <c r="Z221" s="28">
        <f>IF($A221="",0,IF($C221="Portfolio",1,IF(AND($B221="Project",$C221&lt;&gt;"",$C221&lt;&gt;"Outside the portfolio"),IFERROR(IF(AND(INDEX($B$6:$B$305,MATCH($C221,$A$6:$A$305,0))="Program",INDEX($C$6:$C$305,MATCH($C221,$A$6:$A$305,0))="Portfolio"),1,0),0),0)))</f>
        <v/>
      </c>
      <c r="AA221" s="28">
        <f>IF(AND($A221&lt;&gt;"",$E221="",OR($Q221=1,$D221="Proposed")),1,0)</f>
        <v/>
      </c>
      <c r="AB221" s="28">
        <f>IF(AND($A221&lt;&gt;"",$B221="Program",$F221="",$Q221=1),1,0)</f>
        <v/>
      </c>
      <c r="AC221" s="28">
        <f>IF(OR($A221="",$D221="Completed",$D221="Terminated"),0,IF($C221="",1,IF($C221="Portfolio",0,IF($C221="Outside the portfolio",IF($Q221=1,2,0),IF($B221="Project",IF(IFERROR(INDEX($B$6:$B$305,MATCH($C221,$A$6:$A$305,0)),"")="Program",0,1),1)))))</f>
        <v/>
      </c>
      <c r="AD221" s="28">
        <f>IF(AND($A221&lt;&gt;"",OR($M221="■ Red",$M221="◧ Amber"),$L221=""),1,0)</f>
        <v/>
      </c>
      <c r="AE221" s="28">
        <f>$AA221+$AB221+IF($AC221&gt;0,1,0)+$AD221+$AG221+$AH221</f>
        <v/>
      </c>
      <c r="AF221" s="25" t="n"/>
      <c r="AG221" s="28">
        <f>IF(AND($A221&lt;&gt;"",$K221&lt;&gt;"",$C221&lt;&gt;"Portfolio",$D221&lt;&gt;"Completed",$D221&lt;&gt;"Terminated"),1,0)</f>
        <v/>
      </c>
      <c r="AH221" s="28">
        <f>IF(AND($A221&lt;&gt;"",COUNTIF($A$6:$A$305,$A221)&gt;1),1,0)</f>
        <v/>
      </c>
      <c r="AI221" s="28">
        <f>IF(AND($A221&lt;&gt;"",$C221="Portfolio"),COUNTIFS($C$6:$C221,"Portfolio",$A$6:$A221,"&lt;&gt;"),"")</f>
        <v/>
      </c>
    </row>
    <row r="222">
      <c r="A222" s="25" t="n"/>
      <c r="B222" s="25" t="n"/>
      <c r="C222" s="25" t="n"/>
      <c r="D222" s="25" t="n"/>
      <c r="E222" s="25" t="n"/>
      <c r="F222" s="25" t="n"/>
      <c r="G222" s="25" t="n"/>
      <c r="H222" s="26" t="n"/>
      <c r="I222" s="26" t="n"/>
      <c r="J222" s="27" t="n"/>
      <c r="K222" s="27" t="n"/>
      <c r="L222" s="23" t="n"/>
      <c r="M222" s="28">
        <f>IF($A222="","",IF($D222="","Not read",IF($Q222=0,"Not counted",IF(MAX($X222,$Y222)=3,"■ Red",IF(MAX($X222,$Y222)=2,"◧ Amber",IF(MAX($X222,$Y222)=1,"□ On track","Not read"))))))</f>
        <v/>
      </c>
      <c r="N222" s="28">
        <f>IF(OR($A222="",$B222&lt;&gt;"Program"),"","■ "&amp;COUNTIFS($C$6:$C$305,$A222,$M$6:$M$305,"■ Red")&amp;" Red, ◧ "&amp;COUNTIFS($C$6:$C$305,$A222,$M$6:$M$305,"◧ Amber")&amp;" Amber")</f>
        <v/>
      </c>
      <c r="O222" s="29">
        <f>IF(OR($A222="",$E222=""),"",COUNTIFS($E$6:$E$305,$E222,$D$6:$D$305,"Active")+COUNTIFS($E$6:$E$305,$E222,$D$6:$D$305,"Paused"))</f>
        <v/>
      </c>
      <c r="P222" s="28">
        <f>IF($A222="","",IF($AE222=0,"○ Clear",IF($AA222=1,"△ No owner",IF($AC222=1,"△ Check Sits under",IF($AC222=2,"△ Outside the portfolio",IF($AB222=1,"△ No sponsor",IF($AH222=1,"△ Name used twice",IF($AG222=1,"△ Budget only counts under Portfolio","△ No variance note"))))))&amp;IF($AE222&gt;1," (+"&amp;($AE222-1)&amp;" more)","")))</f>
        <v/>
      </c>
      <c r="Q222" s="28">
        <f>IF(AND($A222&lt;&gt;"",OR($D222="Active",$D222="Paused")),1,0)</f>
        <v/>
      </c>
      <c r="R222" s="28">
        <f>IFERROR(INDEX($A$6:$A$305,MATCH(215,$S$6:$S$305,0)),"")</f>
        <v/>
      </c>
      <c r="S222" s="28">
        <f>IF(AND($A222&lt;&gt;"",$B222="Program"),COUNTIFS($B$6:$B222,"Program",$A$6:$A222,"&lt;&gt;"),"")</f>
        <v/>
      </c>
      <c r="T222" s="30">
        <f>IF(AND($A222&lt;&gt;"",$B222="Program"),SUMPRODUCT(MAX(($C$6:$C$305=$A222)*($B$6:$B$305="Project")*($D$6:$D$305&lt;&gt;"Proposed")*$I$6:$I$305)),0)</f>
        <v/>
      </c>
      <c r="U222" s="30">
        <f>IF($I222&lt;&gt;"",$I222,IF($T222&gt;0,$T222,""))</f>
        <v/>
      </c>
      <c r="V222" s="28">
        <f>IF(AND($A222&lt;&gt;"",$B222="Program"),SUMIFS($J$6:$J$305,$C$6:$C$305,$A222,$B$6:$B$305,"Project",$D$6:$D$305,"&lt;&gt;Proposed"),0)</f>
        <v/>
      </c>
      <c r="W222" s="28">
        <f>IF(AND($A222&lt;&gt;"",$B222="Program"),COUNTIFS($C$6:$C$305,$A222,$B$6:$B$305,"Project",$D$6:$D$305,"&lt;&gt;Proposed")-COUNTIFS($C$6:$C$305,$A222,$B$6:$B$305,"Project",$D$6:$D$305,"&lt;&gt;Proposed",$J$6:$J$305,"&gt;=0"),0)</f>
        <v/>
      </c>
      <c r="X222" s="28">
        <f>IF(OR($Q222=0,$H222="",$AF222="Sprint"),0,IF(AND($B222="Project",$H222&lt;TODAY()),3,IF($U222="",0,IF($U222&lt;=$H222,1,IF(NETWORKDAYS($H222,$U222)-1&gt;IF($B222="Program",Checks!$B$7,Checks!$B$6),3,2)))))</f>
        <v/>
      </c>
      <c r="Y222" s="28">
        <f>IF(OR($Q222=0,$K222="",$K222=0,$AF222="Sprint"),0,IF(AND($B222="Project",$J222=""),0,IF(IF($B222="Program",$V222,$J222)&gt;$K222*(1+Checks!$B$8),3,IF(IF($B222="Program",$V222,$J222)&gt;$K222,2,IF(AND($B222="Program",OR($W222&gt;0,$V222=0)),0,1)))))</f>
        <v/>
      </c>
      <c r="Z222" s="28">
        <f>IF($A222="",0,IF($C222="Portfolio",1,IF(AND($B222="Project",$C222&lt;&gt;"",$C222&lt;&gt;"Outside the portfolio"),IFERROR(IF(AND(INDEX($B$6:$B$305,MATCH($C222,$A$6:$A$305,0))="Program",INDEX($C$6:$C$305,MATCH($C222,$A$6:$A$305,0))="Portfolio"),1,0),0),0)))</f>
        <v/>
      </c>
      <c r="AA222" s="28">
        <f>IF(AND($A222&lt;&gt;"",$E222="",OR($Q222=1,$D222="Proposed")),1,0)</f>
        <v/>
      </c>
      <c r="AB222" s="28">
        <f>IF(AND($A222&lt;&gt;"",$B222="Program",$F222="",$Q222=1),1,0)</f>
        <v/>
      </c>
      <c r="AC222" s="28">
        <f>IF(OR($A222="",$D222="Completed",$D222="Terminated"),0,IF($C222="",1,IF($C222="Portfolio",0,IF($C222="Outside the portfolio",IF($Q222=1,2,0),IF($B222="Project",IF(IFERROR(INDEX($B$6:$B$305,MATCH($C222,$A$6:$A$305,0)),"")="Program",0,1),1)))))</f>
        <v/>
      </c>
      <c r="AD222" s="28">
        <f>IF(AND($A222&lt;&gt;"",OR($M222="■ Red",$M222="◧ Amber"),$L222=""),1,0)</f>
        <v/>
      </c>
      <c r="AE222" s="28">
        <f>$AA222+$AB222+IF($AC222&gt;0,1,0)+$AD222+$AG222+$AH222</f>
        <v/>
      </c>
      <c r="AF222" s="25" t="n"/>
      <c r="AG222" s="28">
        <f>IF(AND($A222&lt;&gt;"",$K222&lt;&gt;"",$C222&lt;&gt;"Portfolio",$D222&lt;&gt;"Completed",$D222&lt;&gt;"Terminated"),1,0)</f>
        <v/>
      </c>
      <c r="AH222" s="28">
        <f>IF(AND($A222&lt;&gt;"",COUNTIF($A$6:$A$305,$A222)&gt;1),1,0)</f>
        <v/>
      </c>
      <c r="AI222" s="28">
        <f>IF(AND($A222&lt;&gt;"",$C222="Portfolio"),COUNTIFS($C$6:$C222,"Portfolio",$A$6:$A222,"&lt;&gt;"),"")</f>
        <v/>
      </c>
    </row>
    <row r="223">
      <c r="A223" s="25" t="n"/>
      <c r="B223" s="25" t="n"/>
      <c r="C223" s="25" t="n"/>
      <c r="D223" s="25" t="n"/>
      <c r="E223" s="25" t="n"/>
      <c r="F223" s="25" t="n"/>
      <c r="G223" s="25" t="n"/>
      <c r="H223" s="26" t="n"/>
      <c r="I223" s="26" t="n"/>
      <c r="J223" s="27" t="n"/>
      <c r="K223" s="27" t="n"/>
      <c r="L223" s="23" t="n"/>
      <c r="M223" s="28">
        <f>IF($A223="","",IF($D223="","Not read",IF($Q223=0,"Not counted",IF(MAX($X223,$Y223)=3,"■ Red",IF(MAX($X223,$Y223)=2,"◧ Amber",IF(MAX($X223,$Y223)=1,"□ On track","Not read"))))))</f>
        <v/>
      </c>
      <c r="N223" s="28">
        <f>IF(OR($A223="",$B223&lt;&gt;"Program"),"","■ "&amp;COUNTIFS($C$6:$C$305,$A223,$M$6:$M$305,"■ Red")&amp;" Red, ◧ "&amp;COUNTIFS($C$6:$C$305,$A223,$M$6:$M$305,"◧ Amber")&amp;" Amber")</f>
        <v/>
      </c>
      <c r="O223" s="29">
        <f>IF(OR($A223="",$E223=""),"",COUNTIFS($E$6:$E$305,$E223,$D$6:$D$305,"Active")+COUNTIFS($E$6:$E$305,$E223,$D$6:$D$305,"Paused"))</f>
        <v/>
      </c>
      <c r="P223" s="28">
        <f>IF($A223="","",IF($AE223=0,"○ Clear",IF($AA223=1,"△ No owner",IF($AC223=1,"△ Check Sits under",IF($AC223=2,"△ Outside the portfolio",IF($AB223=1,"△ No sponsor",IF($AH223=1,"△ Name used twice",IF($AG223=1,"△ Budget only counts under Portfolio","△ No variance note"))))))&amp;IF($AE223&gt;1," (+"&amp;($AE223-1)&amp;" more)","")))</f>
        <v/>
      </c>
      <c r="Q223" s="28">
        <f>IF(AND($A223&lt;&gt;"",OR($D223="Active",$D223="Paused")),1,0)</f>
        <v/>
      </c>
      <c r="R223" s="28">
        <f>IFERROR(INDEX($A$6:$A$305,MATCH(216,$S$6:$S$305,0)),"")</f>
        <v/>
      </c>
      <c r="S223" s="28">
        <f>IF(AND($A223&lt;&gt;"",$B223="Program"),COUNTIFS($B$6:$B223,"Program",$A$6:$A223,"&lt;&gt;"),"")</f>
        <v/>
      </c>
      <c r="T223" s="30">
        <f>IF(AND($A223&lt;&gt;"",$B223="Program"),SUMPRODUCT(MAX(($C$6:$C$305=$A223)*($B$6:$B$305="Project")*($D$6:$D$305&lt;&gt;"Proposed")*$I$6:$I$305)),0)</f>
        <v/>
      </c>
      <c r="U223" s="30">
        <f>IF($I223&lt;&gt;"",$I223,IF($T223&gt;0,$T223,""))</f>
        <v/>
      </c>
      <c r="V223" s="28">
        <f>IF(AND($A223&lt;&gt;"",$B223="Program"),SUMIFS($J$6:$J$305,$C$6:$C$305,$A223,$B$6:$B$305,"Project",$D$6:$D$305,"&lt;&gt;Proposed"),0)</f>
        <v/>
      </c>
      <c r="W223" s="28">
        <f>IF(AND($A223&lt;&gt;"",$B223="Program"),COUNTIFS($C$6:$C$305,$A223,$B$6:$B$305,"Project",$D$6:$D$305,"&lt;&gt;Proposed")-COUNTIFS($C$6:$C$305,$A223,$B$6:$B$305,"Project",$D$6:$D$305,"&lt;&gt;Proposed",$J$6:$J$305,"&gt;=0"),0)</f>
        <v/>
      </c>
      <c r="X223" s="28">
        <f>IF(OR($Q223=0,$H223="",$AF223="Sprint"),0,IF(AND($B223="Project",$H223&lt;TODAY()),3,IF($U223="",0,IF($U223&lt;=$H223,1,IF(NETWORKDAYS($H223,$U223)-1&gt;IF($B223="Program",Checks!$B$7,Checks!$B$6),3,2)))))</f>
        <v/>
      </c>
      <c r="Y223" s="28">
        <f>IF(OR($Q223=0,$K223="",$K223=0,$AF223="Sprint"),0,IF(AND($B223="Project",$J223=""),0,IF(IF($B223="Program",$V223,$J223)&gt;$K223*(1+Checks!$B$8),3,IF(IF($B223="Program",$V223,$J223)&gt;$K223,2,IF(AND($B223="Program",OR($W223&gt;0,$V223=0)),0,1)))))</f>
        <v/>
      </c>
      <c r="Z223" s="28">
        <f>IF($A223="",0,IF($C223="Portfolio",1,IF(AND($B223="Project",$C223&lt;&gt;"",$C223&lt;&gt;"Outside the portfolio"),IFERROR(IF(AND(INDEX($B$6:$B$305,MATCH($C223,$A$6:$A$305,0))="Program",INDEX($C$6:$C$305,MATCH($C223,$A$6:$A$305,0))="Portfolio"),1,0),0),0)))</f>
        <v/>
      </c>
      <c r="AA223" s="28">
        <f>IF(AND($A223&lt;&gt;"",$E223="",OR($Q223=1,$D223="Proposed")),1,0)</f>
        <v/>
      </c>
      <c r="AB223" s="28">
        <f>IF(AND($A223&lt;&gt;"",$B223="Program",$F223="",$Q223=1),1,0)</f>
        <v/>
      </c>
      <c r="AC223" s="28">
        <f>IF(OR($A223="",$D223="Completed",$D223="Terminated"),0,IF($C223="",1,IF($C223="Portfolio",0,IF($C223="Outside the portfolio",IF($Q223=1,2,0),IF($B223="Project",IF(IFERROR(INDEX($B$6:$B$305,MATCH($C223,$A$6:$A$305,0)),"")="Program",0,1),1)))))</f>
        <v/>
      </c>
      <c r="AD223" s="28">
        <f>IF(AND($A223&lt;&gt;"",OR($M223="■ Red",$M223="◧ Amber"),$L223=""),1,0)</f>
        <v/>
      </c>
      <c r="AE223" s="28">
        <f>$AA223+$AB223+IF($AC223&gt;0,1,0)+$AD223+$AG223+$AH223</f>
        <v/>
      </c>
      <c r="AF223" s="25" t="n"/>
      <c r="AG223" s="28">
        <f>IF(AND($A223&lt;&gt;"",$K223&lt;&gt;"",$C223&lt;&gt;"Portfolio",$D223&lt;&gt;"Completed",$D223&lt;&gt;"Terminated"),1,0)</f>
        <v/>
      </c>
      <c r="AH223" s="28">
        <f>IF(AND($A223&lt;&gt;"",COUNTIF($A$6:$A$305,$A223)&gt;1),1,0)</f>
        <v/>
      </c>
      <c r="AI223" s="28">
        <f>IF(AND($A223&lt;&gt;"",$C223="Portfolio"),COUNTIFS($C$6:$C223,"Portfolio",$A$6:$A223,"&lt;&gt;"),"")</f>
        <v/>
      </c>
    </row>
    <row r="224">
      <c r="A224" s="25" t="n"/>
      <c r="B224" s="25" t="n"/>
      <c r="C224" s="25" t="n"/>
      <c r="D224" s="25" t="n"/>
      <c r="E224" s="25" t="n"/>
      <c r="F224" s="25" t="n"/>
      <c r="G224" s="25" t="n"/>
      <c r="H224" s="26" t="n"/>
      <c r="I224" s="26" t="n"/>
      <c r="J224" s="27" t="n"/>
      <c r="K224" s="27" t="n"/>
      <c r="L224" s="23" t="n"/>
      <c r="M224" s="28">
        <f>IF($A224="","",IF($D224="","Not read",IF($Q224=0,"Not counted",IF(MAX($X224,$Y224)=3,"■ Red",IF(MAX($X224,$Y224)=2,"◧ Amber",IF(MAX($X224,$Y224)=1,"□ On track","Not read"))))))</f>
        <v/>
      </c>
      <c r="N224" s="28">
        <f>IF(OR($A224="",$B224&lt;&gt;"Program"),"","■ "&amp;COUNTIFS($C$6:$C$305,$A224,$M$6:$M$305,"■ Red")&amp;" Red, ◧ "&amp;COUNTIFS($C$6:$C$305,$A224,$M$6:$M$305,"◧ Amber")&amp;" Amber")</f>
        <v/>
      </c>
      <c r="O224" s="29">
        <f>IF(OR($A224="",$E224=""),"",COUNTIFS($E$6:$E$305,$E224,$D$6:$D$305,"Active")+COUNTIFS($E$6:$E$305,$E224,$D$6:$D$305,"Paused"))</f>
        <v/>
      </c>
      <c r="P224" s="28">
        <f>IF($A224="","",IF($AE224=0,"○ Clear",IF($AA224=1,"△ No owner",IF($AC224=1,"△ Check Sits under",IF($AC224=2,"△ Outside the portfolio",IF($AB224=1,"△ No sponsor",IF($AH224=1,"△ Name used twice",IF($AG224=1,"△ Budget only counts under Portfolio","△ No variance note"))))))&amp;IF($AE224&gt;1," (+"&amp;($AE224-1)&amp;" more)","")))</f>
        <v/>
      </c>
      <c r="Q224" s="28">
        <f>IF(AND($A224&lt;&gt;"",OR($D224="Active",$D224="Paused")),1,0)</f>
        <v/>
      </c>
      <c r="R224" s="28">
        <f>IFERROR(INDEX($A$6:$A$305,MATCH(217,$S$6:$S$305,0)),"")</f>
        <v/>
      </c>
      <c r="S224" s="28">
        <f>IF(AND($A224&lt;&gt;"",$B224="Program"),COUNTIFS($B$6:$B224,"Program",$A$6:$A224,"&lt;&gt;"),"")</f>
        <v/>
      </c>
      <c r="T224" s="30">
        <f>IF(AND($A224&lt;&gt;"",$B224="Program"),SUMPRODUCT(MAX(($C$6:$C$305=$A224)*($B$6:$B$305="Project")*($D$6:$D$305&lt;&gt;"Proposed")*$I$6:$I$305)),0)</f>
        <v/>
      </c>
      <c r="U224" s="30">
        <f>IF($I224&lt;&gt;"",$I224,IF($T224&gt;0,$T224,""))</f>
        <v/>
      </c>
      <c r="V224" s="28">
        <f>IF(AND($A224&lt;&gt;"",$B224="Program"),SUMIFS($J$6:$J$305,$C$6:$C$305,$A224,$B$6:$B$305,"Project",$D$6:$D$305,"&lt;&gt;Proposed"),0)</f>
        <v/>
      </c>
      <c r="W224" s="28">
        <f>IF(AND($A224&lt;&gt;"",$B224="Program"),COUNTIFS($C$6:$C$305,$A224,$B$6:$B$305,"Project",$D$6:$D$305,"&lt;&gt;Proposed")-COUNTIFS($C$6:$C$305,$A224,$B$6:$B$305,"Project",$D$6:$D$305,"&lt;&gt;Proposed",$J$6:$J$305,"&gt;=0"),0)</f>
        <v/>
      </c>
      <c r="X224" s="28">
        <f>IF(OR($Q224=0,$H224="",$AF224="Sprint"),0,IF(AND($B224="Project",$H224&lt;TODAY()),3,IF($U224="",0,IF($U224&lt;=$H224,1,IF(NETWORKDAYS($H224,$U224)-1&gt;IF($B224="Program",Checks!$B$7,Checks!$B$6),3,2)))))</f>
        <v/>
      </c>
      <c r="Y224" s="28">
        <f>IF(OR($Q224=0,$K224="",$K224=0,$AF224="Sprint"),0,IF(AND($B224="Project",$J224=""),0,IF(IF($B224="Program",$V224,$J224)&gt;$K224*(1+Checks!$B$8),3,IF(IF($B224="Program",$V224,$J224)&gt;$K224,2,IF(AND($B224="Program",OR($W224&gt;0,$V224=0)),0,1)))))</f>
        <v/>
      </c>
      <c r="Z224" s="28">
        <f>IF($A224="",0,IF($C224="Portfolio",1,IF(AND($B224="Project",$C224&lt;&gt;"",$C224&lt;&gt;"Outside the portfolio"),IFERROR(IF(AND(INDEX($B$6:$B$305,MATCH($C224,$A$6:$A$305,0))="Program",INDEX($C$6:$C$305,MATCH($C224,$A$6:$A$305,0))="Portfolio"),1,0),0),0)))</f>
        <v/>
      </c>
      <c r="AA224" s="28">
        <f>IF(AND($A224&lt;&gt;"",$E224="",OR($Q224=1,$D224="Proposed")),1,0)</f>
        <v/>
      </c>
      <c r="AB224" s="28">
        <f>IF(AND($A224&lt;&gt;"",$B224="Program",$F224="",$Q224=1),1,0)</f>
        <v/>
      </c>
      <c r="AC224" s="28">
        <f>IF(OR($A224="",$D224="Completed",$D224="Terminated"),0,IF($C224="",1,IF($C224="Portfolio",0,IF($C224="Outside the portfolio",IF($Q224=1,2,0),IF($B224="Project",IF(IFERROR(INDEX($B$6:$B$305,MATCH($C224,$A$6:$A$305,0)),"")="Program",0,1),1)))))</f>
        <v/>
      </c>
      <c r="AD224" s="28">
        <f>IF(AND($A224&lt;&gt;"",OR($M224="■ Red",$M224="◧ Amber"),$L224=""),1,0)</f>
        <v/>
      </c>
      <c r="AE224" s="28">
        <f>$AA224+$AB224+IF($AC224&gt;0,1,0)+$AD224+$AG224+$AH224</f>
        <v/>
      </c>
      <c r="AF224" s="25" t="n"/>
      <c r="AG224" s="28">
        <f>IF(AND($A224&lt;&gt;"",$K224&lt;&gt;"",$C224&lt;&gt;"Portfolio",$D224&lt;&gt;"Completed",$D224&lt;&gt;"Terminated"),1,0)</f>
        <v/>
      </c>
      <c r="AH224" s="28">
        <f>IF(AND($A224&lt;&gt;"",COUNTIF($A$6:$A$305,$A224)&gt;1),1,0)</f>
        <v/>
      </c>
      <c r="AI224" s="28">
        <f>IF(AND($A224&lt;&gt;"",$C224="Portfolio"),COUNTIFS($C$6:$C224,"Portfolio",$A$6:$A224,"&lt;&gt;"),"")</f>
        <v/>
      </c>
    </row>
    <row r="225">
      <c r="A225" s="25" t="n"/>
      <c r="B225" s="25" t="n"/>
      <c r="C225" s="25" t="n"/>
      <c r="D225" s="25" t="n"/>
      <c r="E225" s="25" t="n"/>
      <c r="F225" s="25" t="n"/>
      <c r="G225" s="25" t="n"/>
      <c r="H225" s="26" t="n"/>
      <c r="I225" s="26" t="n"/>
      <c r="J225" s="27" t="n"/>
      <c r="K225" s="27" t="n"/>
      <c r="L225" s="23" t="n"/>
      <c r="M225" s="28">
        <f>IF($A225="","",IF($D225="","Not read",IF($Q225=0,"Not counted",IF(MAX($X225,$Y225)=3,"■ Red",IF(MAX($X225,$Y225)=2,"◧ Amber",IF(MAX($X225,$Y225)=1,"□ On track","Not read"))))))</f>
        <v/>
      </c>
      <c r="N225" s="28">
        <f>IF(OR($A225="",$B225&lt;&gt;"Program"),"","■ "&amp;COUNTIFS($C$6:$C$305,$A225,$M$6:$M$305,"■ Red")&amp;" Red, ◧ "&amp;COUNTIFS($C$6:$C$305,$A225,$M$6:$M$305,"◧ Amber")&amp;" Amber")</f>
        <v/>
      </c>
      <c r="O225" s="29">
        <f>IF(OR($A225="",$E225=""),"",COUNTIFS($E$6:$E$305,$E225,$D$6:$D$305,"Active")+COUNTIFS($E$6:$E$305,$E225,$D$6:$D$305,"Paused"))</f>
        <v/>
      </c>
      <c r="P225" s="28">
        <f>IF($A225="","",IF($AE225=0,"○ Clear",IF($AA225=1,"△ No owner",IF($AC225=1,"△ Check Sits under",IF($AC225=2,"△ Outside the portfolio",IF($AB225=1,"△ No sponsor",IF($AH225=1,"△ Name used twice",IF($AG225=1,"△ Budget only counts under Portfolio","△ No variance note"))))))&amp;IF($AE225&gt;1," (+"&amp;($AE225-1)&amp;" more)","")))</f>
        <v/>
      </c>
      <c r="Q225" s="28">
        <f>IF(AND($A225&lt;&gt;"",OR($D225="Active",$D225="Paused")),1,0)</f>
        <v/>
      </c>
      <c r="R225" s="28">
        <f>IFERROR(INDEX($A$6:$A$305,MATCH(218,$S$6:$S$305,0)),"")</f>
        <v/>
      </c>
      <c r="S225" s="28">
        <f>IF(AND($A225&lt;&gt;"",$B225="Program"),COUNTIFS($B$6:$B225,"Program",$A$6:$A225,"&lt;&gt;"),"")</f>
        <v/>
      </c>
      <c r="T225" s="30">
        <f>IF(AND($A225&lt;&gt;"",$B225="Program"),SUMPRODUCT(MAX(($C$6:$C$305=$A225)*($B$6:$B$305="Project")*($D$6:$D$305&lt;&gt;"Proposed")*$I$6:$I$305)),0)</f>
        <v/>
      </c>
      <c r="U225" s="30">
        <f>IF($I225&lt;&gt;"",$I225,IF($T225&gt;0,$T225,""))</f>
        <v/>
      </c>
      <c r="V225" s="28">
        <f>IF(AND($A225&lt;&gt;"",$B225="Program"),SUMIFS($J$6:$J$305,$C$6:$C$305,$A225,$B$6:$B$305,"Project",$D$6:$D$305,"&lt;&gt;Proposed"),0)</f>
        <v/>
      </c>
      <c r="W225" s="28">
        <f>IF(AND($A225&lt;&gt;"",$B225="Program"),COUNTIFS($C$6:$C$305,$A225,$B$6:$B$305,"Project",$D$6:$D$305,"&lt;&gt;Proposed")-COUNTIFS($C$6:$C$305,$A225,$B$6:$B$305,"Project",$D$6:$D$305,"&lt;&gt;Proposed",$J$6:$J$305,"&gt;=0"),0)</f>
        <v/>
      </c>
      <c r="X225" s="28">
        <f>IF(OR($Q225=0,$H225="",$AF225="Sprint"),0,IF(AND($B225="Project",$H225&lt;TODAY()),3,IF($U225="",0,IF($U225&lt;=$H225,1,IF(NETWORKDAYS($H225,$U225)-1&gt;IF($B225="Program",Checks!$B$7,Checks!$B$6),3,2)))))</f>
        <v/>
      </c>
      <c r="Y225" s="28">
        <f>IF(OR($Q225=0,$K225="",$K225=0,$AF225="Sprint"),0,IF(AND($B225="Project",$J225=""),0,IF(IF($B225="Program",$V225,$J225)&gt;$K225*(1+Checks!$B$8),3,IF(IF($B225="Program",$V225,$J225)&gt;$K225,2,IF(AND($B225="Program",OR($W225&gt;0,$V225=0)),0,1)))))</f>
        <v/>
      </c>
      <c r="Z225" s="28">
        <f>IF($A225="",0,IF($C225="Portfolio",1,IF(AND($B225="Project",$C225&lt;&gt;"",$C225&lt;&gt;"Outside the portfolio"),IFERROR(IF(AND(INDEX($B$6:$B$305,MATCH($C225,$A$6:$A$305,0))="Program",INDEX($C$6:$C$305,MATCH($C225,$A$6:$A$305,0))="Portfolio"),1,0),0),0)))</f>
        <v/>
      </c>
      <c r="AA225" s="28">
        <f>IF(AND($A225&lt;&gt;"",$E225="",OR($Q225=1,$D225="Proposed")),1,0)</f>
        <v/>
      </c>
      <c r="AB225" s="28">
        <f>IF(AND($A225&lt;&gt;"",$B225="Program",$F225="",$Q225=1),1,0)</f>
        <v/>
      </c>
      <c r="AC225" s="28">
        <f>IF(OR($A225="",$D225="Completed",$D225="Terminated"),0,IF($C225="",1,IF($C225="Portfolio",0,IF($C225="Outside the portfolio",IF($Q225=1,2,0),IF($B225="Project",IF(IFERROR(INDEX($B$6:$B$305,MATCH($C225,$A$6:$A$305,0)),"")="Program",0,1),1)))))</f>
        <v/>
      </c>
      <c r="AD225" s="28">
        <f>IF(AND($A225&lt;&gt;"",OR($M225="■ Red",$M225="◧ Amber"),$L225=""),1,0)</f>
        <v/>
      </c>
      <c r="AE225" s="28">
        <f>$AA225+$AB225+IF($AC225&gt;0,1,0)+$AD225+$AG225+$AH225</f>
        <v/>
      </c>
      <c r="AF225" s="25" t="n"/>
      <c r="AG225" s="28">
        <f>IF(AND($A225&lt;&gt;"",$K225&lt;&gt;"",$C225&lt;&gt;"Portfolio",$D225&lt;&gt;"Completed",$D225&lt;&gt;"Terminated"),1,0)</f>
        <v/>
      </c>
      <c r="AH225" s="28">
        <f>IF(AND($A225&lt;&gt;"",COUNTIF($A$6:$A$305,$A225)&gt;1),1,0)</f>
        <v/>
      </c>
      <c r="AI225" s="28">
        <f>IF(AND($A225&lt;&gt;"",$C225="Portfolio"),COUNTIFS($C$6:$C225,"Portfolio",$A$6:$A225,"&lt;&gt;"),"")</f>
        <v/>
      </c>
    </row>
    <row r="226">
      <c r="A226" s="25" t="n"/>
      <c r="B226" s="25" t="n"/>
      <c r="C226" s="25" t="n"/>
      <c r="D226" s="25" t="n"/>
      <c r="E226" s="25" t="n"/>
      <c r="F226" s="25" t="n"/>
      <c r="G226" s="25" t="n"/>
      <c r="H226" s="26" t="n"/>
      <c r="I226" s="26" t="n"/>
      <c r="J226" s="27" t="n"/>
      <c r="K226" s="27" t="n"/>
      <c r="L226" s="23" t="n"/>
      <c r="M226" s="28">
        <f>IF($A226="","",IF($D226="","Not read",IF($Q226=0,"Not counted",IF(MAX($X226,$Y226)=3,"■ Red",IF(MAX($X226,$Y226)=2,"◧ Amber",IF(MAX($X226,$Y226)=1,"□ On track","Not read"))))))</f>
        <v/>
      </c>
      <c r="N226" s="28">
        <f>IF(OR($A226="",$B226&lt;&gt;"Program"),"","■ "&amp;COUNTIFS($C$6:$C$305,$A226,$M$6:$M$305,"■ Red")&amp;" Red, ◧ "&amp;COUNTIFS($C$6:$C$305,$A226,$M$6:$M$305,"◧ Amber")&amp;" Amber")</f>
        <v/>
      </c>
      <c r="O226" s="29">
        <f>IF(OR($A226="",$E226=""),"",COUNTIFS($E$6:$E$305,$E226,$D$6:$D$305,"Active")+COUNTIFS($E$6:$E$305,$E226,$D$6:$D$305,"Paused"))</f>
        <v/>
      </c>
      <c r="P226" s="28">
        <f>IF($A226="","",IF($AE226=0,"○ Clear",IF($AA226=1,"△ No owner",IF($AC226=1,"△ Check Sits under",IF($AC226=2,"△ Outside the portfolio",IF($AB226=1,"△ No sponsor",IF($AH226=1,"△ Name used twice",IF($AG226=1,"△ Budget only counts under Portfolio","△ No variance note"))))))&amp;IF($AE226&gt;1," (+"&amp;($AE226-1)&amp;" more)","")))</f>
        <v/>
      </c>
      <c r="Q226" s="28">
        <f>IF(AND($A226&lt;&gt;"",OR($D226="Active",$D226="Paused")),1,0)</f>
        <v/>
      </c>
      <c r="R226" s="28">
        <f>IFERROR(INDEX($A$6:$A$305,MATCH(219,$S$6:$S$305,0)),"")</f>
        <v/>
      </c>
      <c r="S226" s="28">
        <f>IF(AND($A226&lt;&gt;"",$B226="Program"),COUNTIFS($B$6:$B226,"Program",$A$6:$A226,"&lt;&gt;"),"")</f>
        <v/>
      </c>
      <c r="T226" s="30">
        <f>IF(AND($A226&lt;&gt;"",$B226="Program"),SUMPRODUCT(MAX(($C$6:$C$305=$A226)*($B$6:$B$305="Project")*($D$6:$D$305&lt;&gt;"Proposed")*$I$6:$I$305)),0)</f>
        <v/>
      </c>
      <c r="U226" s="30">
        <f>IF($I226&lt;&gt;"",$I226,IF($T226&gt;0,$T226,""))</f>
        <v/>
      </c>
      <c r="V226" s="28">
        <f>IF(AND($A226&lt;&gt;"",$B226="Program"),SUMIFS($J$6:$J$305,$C$6:$C$305,$A226,$B$6:$B$305,"Project",$D$6:$D$305,"&lt;&gt;Proposed"),0)</f>
        <v/>
      </c>
      <c r="W226" s="28">
        <f>IF(AND($A226&lt;&gt;"",$B226="Program"),COUNTIFS($C$6:$C$305,$A226,$B$6:$B$305,"Project",$D$6:$D$305,"&lt;&gt;Proposed")-COUNTIFS($C$6:$C$305,$A226,$B$6:$B$305,"Project",$D$6:$D$305,"&lt;&gt;Proposed",$J$6:$J$305,"&gt;=0"),0)</f>
        <v/>
      </c>
      <c r="X226" s="28">
        <f>IF(OR($Q226=0,$H226="",$AF226="Sprint"),0,IF(AND($B226="Project",$H226&lt;TODAY()),3,IF($U226="",0,IF($U226&lt;=$H226,1,IF(NETWORKDAYS($H226,$U226)-1&gt;IF($B226="Program",Checks!$B$7,Checks!$B$6),3,2)))))</f>
        <v/>
      </c>
      <c r="Y226" s="28">
        <f>IF(OR($Q226=0,$K226="",$K226=0,$AF226="Sprint"),0,IF(AND($B226="Project",$J226=""),0,IF(IF($B226="Program",$V226,$J226)&gt;$K226*(1+Checks!$B$8),3,IF(IF($B226="Program",$V226,$J226)&gt;$K226,2,IF(AND($B226="Program",OR($W226&gt;0,$V226=0)),0,1)))))</f>
        <v/>
      </c>
      <c r="Z226" s="28">
        <f>IF($A226="",0,IF($C226="Portfolio",1,IF(AND($B226="Project",$C226&lt;&gt;"",$C226&lt;&gt;"Outside the portfolio"),IFERROR(IF(AND(INDEX($B$6:$B$305,MATCH($C226,$A$6:$A$305,0))="Program",INDEX($C$6:$C$305,MATCH($C226,$A$6:$A$305,0))="Portfolio"),1,0),0),0)))</f>
        <v/>
      </c>
      <c r="AA226" s="28">
        <f>IF(AND($A226&lt;&gt;"",$E226="",OR($Q226=1,$D226="Proposed")),1,0)</f>
        <v/>
      </c>
      <c r="AB226" s="28">
        <f>IF(AND($A226&lt;&gt;"",$B226="Program",$F226="",$Q226=1),1,0)</f>
        <v/>
      </c>
      <c r="AC226" s="28">
        <f>IF(OR($A226="",$D226="Completed",$D226="Terminated"),0,IF($C226="",1,IF($C226="Portfolio",0,IF($C226="Outside the portfolio",IF($Q226=1,2,0),IF($B226="Project",IF(IFERROR(INDEX($B$6:$B$305,MATCH($C226,$A$6:$A$305,0)),"")="Program",0,1),1)))))</f>
        <v/>
      </c>
      <c r="AD226" s="28">
        <f>IF(AND($A226&lt;&gt;"",OR($M226="■ Red",$M226="◧ Amber"),$L226=""),1,0)</f>
        <v/>
      </c>
      <c r="AE226" s="28">
        <f>$AA226+$AB226+IF($AC226&gt;0,1,0)+$AD226+$AG226+$AH226</f>
        <v/>
      </c>
      <c r="AF226" s="25" t="n"/>
      <c r="AG226" s="28">
        <f>IF(AND($A226&lt;&gt;"",$K226&lt;&gt;"",$C226&lt;&gt;"Portfolio",$D226&lt;&gt;"Completed",$D226&lt;&gt;"Terminated"),1,0)</f>
        <v/>
      </c>
      <c r="AH226" s="28">
        <f>IF(AND($A226&lt;&gt;"",COUNTIF($A$6:$A$305,$A226)&gt;1),1,0)</f>
        <v/>
      </c>
      <c r="AI226" s="28">
        <f>IF(AND($A226&lt;&gt;"",$C226="Portfolio"),COUNTIFS($C$6:$C226,"Portfolio",$A$6:$A226,"&lt;&gt;"),"")</f>
        <v/>
      </c>
    </row>
    <row r="227">
      <c r="A227" s="25" t="n"/>
      <c r="B227" s="25" t="n"/>
      <c r="C227" s="25" t="n"/>
      <c r="D227" s="25" t="n"/>
      <c r="E227" s="25" t="n"/>
      <c r="F227" s="25" t="n"/>
      <c r="G227" s="25" t="n"/>
      <c r="H227" s="26" t="n"/>
      <c r="I227" s="26" t="n"/>
      <c r="J227" s="27" t="n"/>
      <c r="K227" s="27" t="n"/>
      <c r="L227" s="23" t="n"/>
      <c r="M227" s="28">
        <f>IF($A227="","",IF($D227="","Not read",IF($Q227=0,"Not counted",IF(MAX($X227,$Y227)=3,"■ Red",IF(MAX($X227,$Y227)=2,"◧ Amber",IF(MAX($X227,$Y227)=1,"□ On track","Not read"))))))</f>
        <v/>
      </c>
      <c r="N227" s="28">
        <f>IF(OR($A227="",$B227&lt;&gt;"Program"),"","■ "&amp;COUNTIFS($C$6:$C$305,$A227,$M$6:$M$305,"■ Red")&amp;" Red, ◧ "&amp;COUNTIFS($C$6:$C$305,$A227,$M$6:$M$305,"◧ Amber")&amp;" Amber")</f>
        <v/>
      </c>
      <c r="O227" s="29">
        <f>IF(OR($A227="",$E227=""),"",COUNTIFS($E$6:$E$305,$E227,$D$6:$D$305,"Active")+COUNTIFS($E$6:$E$305,$E227,$D$6:$D$305,"Paused"))</f>
        <v/>
      </c>
      <c r="P227" s="28">
        <f>IF($A227="","",IF($AE227=0,"○ Clear",IF($AA227=1,"△ No owner",IF($AC227=1,"△ Check Sits under",IF($AC227=2,"△ Outside the portfolio",IF($AB227=1,"△ No sponsor",IF($AH227=1,"△ Name used twice",IF($AG227=1,"△ Budget only counts under Portfolio","△ No variance note"))))))&amp;IF($AE227&gt;1," (+"&amp;($AE227-1)&amp;" more)","")))</f>
        <v/>
      </c>
      <c r="Q227" s="28">
        <f>IF(AND($A227&lt;&gt;"",OR($D227="Active",$D227="Paused")),1,0)</f>
        <v/>
      </c>
      <c r="R227" s="28">
        <f>IFERROR(INDEX($A$6:$A$305,MATCH(220,$S$6:$S$305,0)),"")</f>
        <v/>
      </c>
      <c r="S227" s="28">
        <f>IF(AND($A227&lt;&gt;"",$B227="Program"),COUNTIFS($B$6:$B227,"Program",$A$6:$A227,"&lt;&gt;"),"")</f>
        <v/>
      </c>
      <c r="T227" s="30">
        <f>IF(AND($A227&lt;&gt;"",$B227="Program"),SUMPRODUCT(MAX(($C$6:$C$305=$A227)*($B$6:$B$305="Project")*($D$6:$D$305&lt;&gt;"Proposed")*$I$6:$I$305)),0)</f>
        <v/>
      </c>
      <c r="U227" s="30">
        <f>IF($I227&lt;&gt;"",$I227,IF($T227&gt;0,$T227,""))</f>
        <v/>
      </c>
      <c r="V227" s="28">
        <f>IF(AND($A227&lt;&gt;"",$B227="Program"),SUMIFS($J$6:$J$305,$C$6:$C$305,$A227,$B$6:$B$305,"Project",$D$6:$D$305,"&lt;&gt;Proposed"),0)</f>
        <v/>
      </c>
      <c r="W227" s="28">
        <f>IF(AND($A227&lt;&gt;"",$B227="Program"),COUNTIFS($C$6:$C$305,$A227,$B$6:$B$305,"Project",$D$6:$D$305,"&lt;&gt;Proposed")-COUNTIFS($C$6:$C$305,$A227,$B$6:$B$305,"Project",$D$6:$D$305,"&lt;&gt;Proposed",$J$6:$J$305,"&gt;=0"),0)</f>
        <v/>
      </c>
      <c r="X227" s="28">
        <f>IF(OR($Q227=0,$H227="",$AF227="Sprint"),0,IF(AND($B227="Project",$H227&lt;TODAY()),3,IF($U227="",0,IF($U227&lt;=$H227,1,IF(NETWORKDAYS($H227,$U227)-1&gt;IF($B227="Program",Checks!$B$7,Checks!$B$6),3,2)))))</f>
        <v/>
      </c>
      <c r="Y227" s="28">
        <f>IF(OR($Q227=0,$K227="",$K227=0,$AF227="Sprint"),0,IF(AND($B227="Project",$J227=""),0,IF(IF($B227="Program",$V227,$J227)&gt;$K227*(1+Checks!$B$8),3,IF(IF($B227="Program",$V227,$J227)&gt;$K227,2,IF(AND($B227="Program",OR($W227&gt;0,$V227=0)),0,1)))))</f>
        <v/>
      </c>
      <c r="Z227" s="28">
        <f>IF($A227="",0,IF($C227="Portfolio",1,IF(AND($B227="Project",$C227&lt;&gt;"",$C227&lt;&gt;"Outside the portfolio"),IFERROR(IF(AND(INDEX($B$6:$B$305,MATCH($C227,$A$6:$A$305,0))="Program",INDEX($C$6:$C$305,MATCH($C227,$A$6:$A$305,0))="Portfolio"),1,0),0),0)))</f>
        <v/>
      </c>
      <c r="AA227" s="28">
        <f>IF(AND($A227&lt;&gt;"",$E227="",OR($Q227=1,$D227="Proposed")),1,0)</f>
        <v/>
      </c>
      <c r="AB227" s="28">
        <f>IF(AND($A227&lt;&gt;"",$B227="Program",$F227="",$Q227=1),1,0)</f>
        <v/>
      </c>
      <c r="AC227" s="28">
        <f>IF(OR($A227="",$D227="Completed",$D227="Terminated"),0,IF($C227="",1,IF($C227="Portfolio",0,IF($C227="Outside the portfolio",IF($Q227=1,2,0),IF($B227="Project",IF(IFERROR(INDEX($B$6:$B$305,MATCH($C227,$A$6:$A$305,0)),"")="Program",0,1),1)))))</f>
        <v/>
      </c>
      <c r="AD227" s="28">
        <f>IF(AND($A227&lt;&gt;"",OR($M227="■ Red",$M227="◧ Amber"),$L227=""),1,0)</f>
        <v/>
      </c>
      <c r="AE227" s="28">
        <f>$AA227+$AB227+IF($AC227&gt;0,1,0)+$AD227+$AG227+$AH227</f>
        <v/>
      </c>
      <c r="AF227" s="25" t="n"/>
      <c r="AG227" s="28">
        <f>IF(AND($A227&lt;&gt;"",$K227&lt;&gt;"",$C227&lt;&gt;"Portfolio",$D227&lt;&gt;"Completed",$D227&lt;&gt;"Terminated"),1,0)</f>
        <v/>
      </c>
      <c r="AH227" s="28">
        <f>IF(AND($A227&lt;&gt;"",COUNTIF($A$6:$A$305,$A227)&gt;1),1,0)</f>
        <v/>
      </c>
      <c r="AI227" s="28">
        <f>IF(AND($A227&lt;&gt;"",$C227="Portfolio"),COUNTIFS($C$6:$C227,"Portfolio",$A$6:$A227,"&lt;&gt;"),"")</f>
        <v/>
      </c>
    </row>
    <row r="228">
      <c r="A228" s="25" t="n"/>
      <c r="B228" s="25" t="n"/>
      <c r="C228" s="25" t="n"/>
      <c r="D228" s="25" t="n"/>
      <c r="E228" s="25" t="n"/>
      <c r="F228" s="25" t="n"/>
      <c r="G228" s="25" t="n"/>
      <c r="H228" s="26" t="n"/>
      <c r="I228" s="26" t="n"/>
      <c r="J228" s="27" t="n"/>
      <c r="K228" s="27" t="n"/>
      <c r="L228" s="23" t="n"/>
      <c r="M228" s="28">
        <f>IF($A228="","",IF($D228="","Not read",IF($Q228=0,"Not counted",IF(MAX($X228,$Y228)=3,"■ Red",IF(MAX($X228,$Y228)=2,"◧ Amber",IF(MAX($X228,$Y228)=1,"□ On track","Not read"))))))</f>
        <v/>
      </c>
      <c r="N228" s="28">
        <f>IF(OR($A228="",$B228&lt;&gt;"Program"),"","■ "&amp;COUNTIFS($C$6:$C$305,$A228,$M$6:$M$305,"■ Red")&amp;" Red, ◧ "&amp;COUNTIFS($C$6:$C$305,$A228,$M$6:$M$305,"◧ Amber")&amp;" Amber")</f>
        <v/>
      </c>
      <c r="O228" s="29">
        <f>IF(OR($A228="",$E228=""),"",COUNTIFS($E$6:$E$305,$E228,$D$6:$D$305,"Active")+COUNTIFS($E$6:$E$305,$E228,$D$6:$D$305,"Paused"))</f>
        <v/>
      </c>
      <c r="P228" s="28">
        <f>IF($A228="","",IF($AE228=0,"○ Clear",IF($AA228=1,"△ No owner",IF($AC228=1,"△ Check Sits under",IF($AC228=2,"△ Outside the portfolio",IF($AB228=1,"△ No sponsor",IF($AH228=1,"△ Name used twice",IF($AG228=1,"△ Budget only counts under Portfolio","△ No variance note"))))))&amp;IF($AE228&gt;1," (+"&amp;($AE228-1)&amp;" more)","")))</f>
        <v/>
      </c>
      <c r="Q228" s="28">
        <f>IF(AND($A228&lt;&gt;"",OR($D228="Active",$D228="Paused")),1,0)</f>
        <v/>
      </c>
      <c r="R228" s="28">
        <f>IFERROR(INDEX($A$6:$A$305,MATCH(221,$S$6:$S$305,0)),"")</f>
        <v/>
      </c>
      <c r="S228" s="28">
        <f>IF(AND($A228&lt;&gt;"",$B228="Program"),COUNTIFS($B$6:$B228,"Program",$A$6:$A228,"&lt;&gt;"),"")</f>
        <v/>
      </c>
      <c r="T228" s="30">
        <f>IF(AND($A228&lt;&gt;"",$B228="Program"),SUMPRODUCT(MAX(($C$6:$C$305=$A228)*($B$6:$B$305="Project")*($D$6:$D$305&lt;&gt;"Proposed")*$I$6:$I$305)),0)</f>
        <v/>
      </c>
      <c r="U228" s="30">
        <f>IF($I228&lt;&gt;"",$I228,IF($T228&gt;0,$T228,""))</f>
        <v/>
      </c>
      <c r="V228" s="28">
        <f>IF(AND($A228&lt;&gt;"",$B228="Program"),SUMIFS($J$6:$J$305,$C$6:$C$305,$A228,$B$6:$B$305,"Project",$D$6:$D$305,"&lt;&gt;Proposed"),0)</f>
        <v/>
      </c>
      <c r="W228" s="28">
        <f>IF(AND($A228&lt;&gt;"",$B228="Program"),COUNTIFS($C$6:$C$305,$A228,$B$6:$B$305,"Project",$D$6:$D$305,"&lt;&gt;Proposed")-COUNTIFS($C$6:$C$305,$A228,$B$6:$B$305,"Project",$D$6:$D$305,"&lt;&gt;Proposed",$J$6:$J$305,"&gt;=0"),0)</f>
        <v/>
      </c>
      <c r="X228" s="28">
        <f>IF(OR($Q228=0,$H228="",$AF228="Sprint"),0,IF(AND($B228="Project",$H228&lt;TODAY()),3,IF($U228="",0,IF($U228&lt;=$H228,1,IF(NETWORKDAYS($H228,$U228)-1&gt;IF($B228="Program",Checks!$B$7,Checks!$B$6),3,2)))))</f>
        <v/>
      </c>
      <c r="Y228" s="28">
        <f>IF(OR($Q228=0,$K228="",$K228=0,$AF228="Sprint"),0,IF(AND($B228="Project",$J228=""),0,IF(IF($B228="Program",$V228,$J228)&gt;$K228*(1+Checks!$B$8),3,IF(IF($B228="Program",$V228,$J228)&gt;$K228,2,IF(AND($B228="Program",OR($W228&gt;0,$V228=0)),0,1)))))</f>
        <v/>
      </c>
      <c r="Z228" s="28">
        <f>IF($A228="",0,IF($C228="Portfolio",1,IF(AND($B228="Project",$C228&lt;&gt;"",$C228&lt;&gt;"Outside the portfolio"),IFERROR(IF(AND(INDEX($B$6:$B$305,MATCH($C228,$A$6:$A$305,0))="Program",INDEX($C$6:$C$305,MATCH($C228,$A$6:$A$305,0))="Portfolio"),1,0),0),0)))</f>
        <v/>
      </c>
      <c r="AA228" s="28">
        <f>IF(AND($A228&lt;&gt;"",$E228="",OR($Q228=1,$D228="Proposed")),1,0)</f>
        <v/>
      </c>
      <c r="AB228" s="28">
        <f>IF(AND($A228&lt;&gt;"",$B228="Program",$F228="",$Q228=1),1,0)</f>
        <v/>
      </c>
      <c r="AC228" s="28">
        <f>IF(OR($A228="",$D228="Completed",$D228="Terminated"),0,IF($C228="",1,IF($C228="Portfolio",0,IF($C228="Outside the portfolio",IF($Q228=1,2,0),IF($B228="Project",IF(IFERROR(INDEX($B$6:$B$305,MATCH($C228,$A$6:$A$305,0)),"")="Program",0,1),1)))))</f>
        <v/>
      </c>
      <c r="AD228" s="28">
        <f>IF(AND($A228&lt;&gt;"",OR($M228="■ Red",$M228="◧ Amber"),$L228=""),1,0)</f>
        <v/>
      </c>
      <c r="AE228" s="28">
        <f>$AA228+$AB228+IF($AC228&gt;0,1,0)+$AD228+$AG228+$AH228</f>
        <v/>
      </c>
      <c r="AF228" s="25" t="n"/>
      <c r="AG228" s="28">
        <f>IF(AND($A228&lt;&gt;"",$K228&lt;&gt;"",$C228&lt;&gt;"Portfolio",$D228&lt;&gt;"Completed",$D228&lt;&gt;"Terminated"),1,0)</f>
        <v/>
      </c>
      <c r="AH228" s="28">
        <f>IF(AND($A228&lt;&gt;"",COUNTIF($A$6:$A$305,$A228)&gt;1),1,0)</f>
        <v/>
      </c>
      <c r="AI228" s="28">
        <f>IF(AND($A228&lt;&gt;"",$C228="Portfolio"),COUNTIFS($C$6:$C228,"Portfolio",$A$6:$A228,"&lt;&gt;"),"")</f>
        <v/>
      </c>
    </row>
    <row r="229">
      <c r="A229" s="25" t="n"/>
      <c r="B229" s="25" t="n"/>
      <c r="C229" s="25" t="n"/>
      <c r="D229" s="25" t="n"/>
      <c r="E229" s="25" t="n"/>
      <c r="F229" s="25" t="n"/>
      <c r="G229" s="25" t="n"/>
      <c r="H229" s="26" t="n"/>
      <c r="I229" s="26" t="n"/>
      <c r="J229" s="27" t="n"/>
      <c r="K229" s="27" t="n"/>
      <c r="L229" s="23" t="n"/>
      <c r="M229" s="28">
        <f>IF($A229="","",IF($D229="","Not read",IF($Q229=0,"Not counted",IF(MAX($X229,$Y229)=3,"■ Red",IF(MAX($X229,$Y229)=2,"◧ Amber",IF(MAX($X229,$Y229)=1,"□ On track","Not read"))))))</f>
        <v/>
      </c>
      <c r="N229" s="28">
        <f>IF(OR($A229="",$B229&lt;&gt;"Program"),"","■ "&amp;COUNTIFS($C$6:$C$305,$A229,$M$6:$M$305,"■ Red")&amp;" Red, ◧ "&amp;COUNTIFS($C$6:$C$305,$A229,$M$6:$M$305,"◧ Amber")&amp;" Amber")</f>
        <v/>
      </c>
      <c r="O229" s="29">
        <f>IF(OR($A229="",$E229=""),"",COUNTIFS($E$6:$E$305,$E229,$D$6:$D$305,"Active")+COUNTIFS($E$6:$E$305,$E229,$D$6:$D$305,"Paused"))</f>
        <v/>
      </c>
      <c r="P229" s="28">
        <f>IF($A229="","",IF($AE229=0,"○ Clear",IF($AA229=1,"△ No owner",IF($AC229=1,"△ Check Sits under",IF($AC229=2,"△ Outside the portfolio",IF($AB229=1,"△ No sponsor",IF($AH229=1,"△ Name used twice",IF($AG229=1,"△ Budget only counts under Portfolio","△ No variance note"))))))&amp;IF($AE229&gt;1," (+"&amp;($AE229-1)&amp;" more)","")))</f>
        <v/>
      </c>
      <c r="Q229" s="28">
        <f>IF(AND($A229&lt;&gt;"",OR($D229="Active",$D229="Paused")),1,0)</f>
        <v/>
      </c>
      <c r="R229" s="28">
        <f>IFERROR(INDEX($A$6:$A$305,MATCH(222,$S$6:$S$305,0)),"")</f>
        <v/>
      </c>
      <c r="S229" s="28">
        <f>IF(AND($A229&lt;&gt;"",$B229="Program"),COUNTIFS($B$6:$B229,"Program",$A$6:$A229,"&lt;&gt;"),"")</f>
        <v/>
      </c>
      <c r="T229" s="30">
        <f>IF(AND($A229&lt;&gt;"",$B229="Program"),SUMPRODUCT(MAX(($C$6:$C$305=$A229)*($B$6:$B$305="Project")*($D$6:$D$305&lt;&gt;"Proposed")*$I$6:$I$305)),0)</f>
        <v/>
      </c>
      <c r="U229" s="30">
        <f>IF($I229&lt;&gt;"",$I229,IF($T229&gt;0,$T229,""))</f>
        <v/>
      </c>
      <c r="V229" s="28">
        <f>IF(AND($A229&lt;&gt;"",$B229="Program"),SUMIFS($J$6:$J$305,$C$6:$C$305,$A229,$B$6:$B$305,"Project",$D$6:$D$305,"&lt;&gt;Proposed"),0)</f>
        <v/>
      </c>
      <c r="W229" s="28">
        <f>IF(AND($A229&lt;&gt;"",$B229="Program"),COUNTIFS($C$6:$C$305,$A229,$B$6:$B$305,"Project",$D$6:$D$305,"&lt;&gt;Proposed")-COUNTIFS($C$6:$C$305,$A229,$B$6:$B$305,"Project",$D$6:$D$305,"&lt;&gt;Proposed",$J$6:$J$305,"&gt;=0"),0)</f>
        <v/>
      </c>
      <c r="X229" s="28">
        <f>IF(OR($Q229=0,$H229="",$AF229="Sprint"),0,IF(AND($B229="Project",$H229&lt;TODAY()),3,IF($U229="",0,IF($U229&lt;=$H229,1,IF(NETWORKDAYS($H229,$U229)-1&gt;IF($B229="Program",Checks!$B$7,Checks!$B$6),3,2)))))</f>
        <v/>
      </c>
      <c r="Y229" s="28">
        <f>IF(OR($Q229=0,$K229="",$K229=0,$AF229="Sprint"),0,IF(AND($B229="Project",$J229=""),0,IF(IF($B229="Program",$V229,$J229)&gt;$K229*(1+Checks!$B$8),3,IF(IF($B229="Program",$V229,$J229)&gt;$K229,2,IF(AND($B229="Program",OR($W229&gt;0,$V229=0)),0,1)))))</f>
        <v/>
      </c>
      <c r="Z229" s="28">
        <f>IF($A229="",0,IF($C229="Portfolio",1,IF(AND($B229="Project",$C229&lt;&gt;"",$C229&lt;&gt;"Outside the portfolio"),IFERROR(IF(AND(INDEX($B$6:$B$305,MATCH($C229,$A$6:$A$305,0))="Program",INDEX($C$6:$C$305,MATCH($C229,$A$6:$A$305,0))="Portfolio"),1,0),0),0)))</f>
        <v/>
      </c>
      <c r="AA229" s="28">
        <f>IF(AND($A229&lt;&gt;"",$E229="",OR($Q229=1,$D229="Proposed")),1,0)</f>
        <v/>
      </c>
      <c r="AB229" s="28">
        <f>IF(AND($A229&lt;&gt;"",$B229="Program",$F229="",$Q229=1),1,0)</f>
        <v/>
      </c>
      <c r="AC229" s="28">
        <f>IF(OR($A229="",$D229="Completed",$D229="Terminated"),0,IF($C229="",1,IF($C229="Portfolio",0,IF($C229="Outside the portfolio",IF($Q229=1,2,0),IF($B229="Project",IF(IFERROR(INDEX($B$6:$B$305,MATCH($C229,$A$6:$A$305,0)),"")="Program",0,1),1)))))</f>
        <v/>
      </c>
      <c r="AD229" s="28">
        <f>IF(AND($A229&lt;&gt;"",OR($M229="■ Red",$M229="◧ Amber"),$L229=""),1,0)</f>
        <v/>
      </c>
      <c r="AE229" s="28">
        <f>$AA229+$AB229+IF($AC229&gt;0,1,0)+$AD229+$AG229+$AH229</f>
        <v/>
      </c>
      <c r="AF229" s="25" t="n"/>
      <c r="AG229" s="28">
        <f>IF(AND($A229&lt;&gt;"",$K229&lt;&gt;"",$C229&lt;&gt;"Portfolio",$D229&lt;&gt;"Completed",$D229&lt;&gt;"Terminated"),1,0)</f>
        <v/>
      </c>
      <c r="AH229" s="28">
        <f>IF(AND($A229&lt;&gt;"",COUNTIF($A$6:$A$305,$A229)&gt;1),1,0)</f>
        <v/>
      </c>
      <c r="AI229" s="28">
        <f>IF(AND($A229&lt;&gt;"",$C229="Portfolio"),COUNTIFS($C$6:$C229,"Portfolio",$A$6:$A229,"&lt;&gt;"),"")</f>
        <v/>
      </c>
    </row>
    <row r="230">
      <c r="A230" s="25" t="n"/>
      <c r="B230" s="25" t="n"/>
      <c r="C230" s="25" t="n"/>
      <c r="D230" s="25" t="n"/>
      <c r="E230" s="25" t="n"/>
      <c r="F230" s="25" t="n"/>
      <c r="G230" s="25" t="n"/>
      <c r="H230" s="26" t="n"/>
      <c r="I230" s="26" t="n"/>
      <c r="J230" s="27" t="n"/>
      <c r="K230" s="27" t="n"/>
      <c r="L230" s="23" t="n"/>
      <c r="M230" s="28">
        <f>IF($A230="","",IF($D230="","Not read",IF($Q230=0,"Not counted",IF(MAX($X230,$Y230)=3,"■ Red",IF(MAX($X230,$Y230)=2,"◧ Amber",IF(MAX($X230,$Y230)=1,"□ On track","Not read"))))))</f>
        <v/>
      </c>
      <c r="N230" s="28">
        <f>IF(OR($A230="",$B230&lt;&gt;"Program"),"","■ "&amp;COUNTIFS($C$6:$C$305,$A230,$M$6:$M$305,"■ Red")&amp;" Red, ◧ "&amp;COUNTIFS($C$6:$C$305,$A230,$M$6:$M$305,"◧ Amber")&amp;" Amber")</f>
        <v/>
      </c>
      <c r="O230" s="29">
        <f>IF(OR($A230="",$E230=""),"",COUNTIFS($E$6:$E$305,$E230,$D$6:$D$305,"Active")+COUNTIFS($E$6:$E$305,$E230,$D$6:$D$305,"Paused"))</f>
        <v/>
      </c>
      <c r="P230" s="28">
        <f>IF($A230="","",IF($AE230=0,"○ Clear",IF($AA230=1,"△ No owner",IF($AC230=1,"△ Check Sits under",IF($AC230=2,"△ Outside the portfolio",IF($AB230=1,"△ No sponsor",IF($AH230=1,"△ Name used twice",IF($AG230=1,"△ Budget only counts under Portfolio","△ No variance note"))))))&amp;IF($AE230&gt;1," (+"&amp;($AE230-1)&amp;" more)","")))</f>
        <v/>
      </c>
      <c r="Q230" s="28">
        <f>IF(AND($A230&lt;&gt;"",OR($D230="Active",$D230="Paused")),1,0)</f>
        <v/>
      </c>
      <c r="R230" s="28">
        <f>IFERROR(INDEX($A$6:$A$305,MATCH(223,$S$6:$S$305,0)),"")</f>
        <v/>
      </c>
      <c r="S230" s="28">
        <f>IF(AND($A230&lt;&gt;"",$B230="Program"),COUNTIFS($B$6:$B230,"Program",$A$6:$A230,"&lt;&gt;"),"")</f>
        <v/>
      </c>
      <c r="T230" s="30">
        <f>IF(AND($A230&lt;&gt;"",$B230="Program"),SUMPRODUCT(MAX(($C$6:$C$305=$A230)*($B$6:$B$305="Project")*($D$6:$D$305&lt;&gt;"Proposed")*$I$6:$I$305)),0)</f>
        <v/>
      </c>
      <c r="U230" s="30">
        <f>IF($I230&lt;&gt;"",$I230,IF($T230&gt;0,$T230,""))</f>
        <v/>
      </c>
      <c r="V230" s="28">
        <f>IF(AND($A230&lt;&gt;"",$B230="Program"),SUMIFS($J$6:$J$305,$C$6:$C$305,$A230,$B$6:$B$305,"Project",$D$6:$D$305,"&lt;&gt;Proposed"),0)</f>
        <v/>
      </c>
      <c r="W230" s="28">
        <f>IF(AND($A230&lt;&gt;"",$B230="Program"),COUNTIFS($C$6:$C$305,$A230,$B$6:$B$305,"Project",$D$6:$D$305,"&lt;&gt;Proposed")-COUNTIFS($C$6:$C$305,$A230,$B$6:$B$305,"Project",$D$6:$D$305,"&lt;&gt;Proposed",$J$6:$J$305,"&gt;=0"),0)</f>
        <v/>
      </c>
      <c r="X230" s="28">
        <f>IF(OR($Q230=0,$H230="",$AF230="Sprint"),0,IF(AND($B230="Project",$H230&lt;TODAY()),3,IF($U230="",0,IF($U230&lt;=$H230,1,IF(NETWORKDAYS($H230,$U230)-1&gt;IF($B230="Program",Checks!$B$7,Checks!$B$6),3,2)))))</f>
        <v/>
      </c>
      <c r="Y230" s="28">
        <f>IF(OR($Q230=0,$K230="",$K230=0,$AF230="Sprint"),0,IF(AND($B230="Project",$J230=""),0,IF(IF($B230="Program",$V230,$J230)&gt;$K230*(1+Checks!$B$8),3,IF(IF($B230="Program",$V230,$J230)&gt;$K230,2,IF(AND($B230="Program",OR($W230&gt;0,$V230=0)),0,1)))))</f>
        <v/>
      </c>
      <c r="Z230" s="28">
        <f>IF($A230="",0,IF($C230="Portfolio",1,IF(AND($B230="Project",$C230&lt;&gt;"",$C230&lt;&gt;"Outside the portfolio"),IFERROR(IF(AND(INDEX($B$6:$B$305,MATCH($C230,$A$6:$A$305,0))="Program",INDEX($C$6:$C$305,MATCH($C230,$A$6:$A$305,0))="Portfolio"),1,0),0),0)))</f>
        <v/>
      </c>
      <c r="AA230" s="28">
        <f>IF(AND($A230&lt;&gt;"",$E230="",OR($Q230=1,$D230="Proposed")),1,0)</f>
        <v/>
      </c>
      <c r="AB230" s="28">
        <f>IF(AND($A230&lt;&gt;"",$B230="Program",$F230="",$Q230=1),1,0)</f>
        <v/>
      </c>
      <c r="AC230" s="28">
        <f>IF(OR($A230="",$D230="Completed",$D230="Terminated"),0,IF($C230="",1,IF($C230="Portfolio",0,IF($C230="Outside the portfolio",IF($Q230=1,2,0),IF($B230="Project",IF(IFERROR(INDEX($B$6:$B$305,MATCH($C230,$A$6:$A$305,0)),"")="Program",0,1),1)))))</f>
        <v/>
      </c>
      <c r="AD230" s="28">
        <f>IF(AND($A230&lt;&gt;"",OR($M230="■ Red",$M230="◧ Amber"),$L230=""),1,0)</f>
        <v/>
      </c>
      <c r="AE230" s="28">
        <f>$AA230+$AB230+IF($AC230&gt;0,1,0)+$AD230+$AG230+$AH230</f>
        <v/>
      </c>
      <c r="AF230" s="25" t="n"/>
      <c r="AG230" s="28">
        <f>IF(AND($A230&lt;&gt;"",$K230&lt;&gt;"",$C230&lt;&gt;"Portfolio",$D230&lt;&gt;"Completed",$D230&lt;&gt;"Terminated"),1,0)</f>
        <v/>
      </c>
      <c r="AH230" s="28">
        <f>IF(AND($A230&lt;&gt;"",COUNTIF($A$6:$A$305,$A230)&gt;1),1,0)</f>
        <v/>
      </c>
      <c r="AI230" s="28">
        <f>IF(AND($A230&lt;&gt;"",$C230="Portfolio"),COUNTIFS($C$6:$C230,"Portfolio",$A$6:$A230,"&lt;&gt;"),"")</f>
        <v/>
      </c>
    </row>
    <row r="231">
      <c r="A231" s="25" t="n"/>
      <c r="B231" s="25" t="n"/>
      <c r="C231" s="25" t="n"/>
      <c r="D231" s="25" t="n"/>
      <c r="E231" s="25" t="n"/>
      <c r="F231" s="25" t="n"/>
      <c r="G231" s="25" t="n"/>
      <c r="H231" s="26" t="n"/>
      <c r="I231" s="26" t="n"/>
      <c r="J231" s="27" t="n"/>
      <c r="K231" s="27" t="n"/>
      <c r="L231" s="23" t="n"/>
      <c r="M231" s="28">
        <f>IF($A231="","",IF($D231="","Not read",IF($Q231=0,"Not counted",IF(MAX($X231,$Y231)=3,"■ Red",IF(MAX($X231,$Y231)=2,"◧ Amber",IF(MAX($X231,$Y231)=1,"□ On track","Not read"))))))</f>
        <v/>
      </c>
      <c r="N231" s="28">
        <f>IF(OR($A231="",$B231&lt;&gt;"Program"),"","■ "&amp;COUNTIFS($C$6:$C$305,$A231,$M$6:$M$305,"■ Red")&amp;" Red, ◧ "&amp;COUNTIFS($C$6:$C$305,$A231,$M$6:$M$305,"◧ Amber")&amp;" Amber")</f>
        <v/>
      </c>
      <c r="O231" s="29">
        <f>IF(OR($A231="",$E231=""),"",COUNTIFS($E$6:$E$305,$E231,$D$6:$D$305,"Active")+COUNTIFS($E$6:$E$305,$E231,$D$6:$D$305,"Paused"))</f>
        <v/>
      </c>
      <c r="P231" s="28">
        <f>IF($A231="","",IF($AE231=0,"○ Clear",IF($AA231=1,"△ No owner",IF($AC231=1,"△ Check Sits under",IF($AC231=2,"△ Outside the portfolio",IF($AB231=1,"△ No sponsor",IF($AH231=1,"△ Name used twice",IF($AG231=1,"△ Budget only counts under Portfolio","△ No variance note"))))))&amp;IF($AE231&gt;1," (+"&amp;($AE231-1)&amp;" more)","")))</f>
        <v/>
      </c>
      <c r="Q231" s="28">
        <f>IF(AND($A231&lt;&gt;"",OR($D231="Active",$D231="Paused")),1,0)</f>
        <v/>
      </c>
      <c r="R231" s="28">
        <f>IFERROR(INDEX($A$6:$A$305,MATCH(224,$S$6:$S$305,0)),"")</f>
        <v/>
      </c>
      <c r="S231" s="28">
        <f>IF(AND($A231&lt;&gt;"",$B231="Program"),COUNTIFS($B$6:$B231,"Program",$A$6:$A231,"&lt;&gt;"),"")</f>
        <v/>
      </c>
      <c r="T231" s="30">
        <f>IF(AND($A231&lt;&gt;"",$B231="Program"),SUMPRODUCT(MAX(($C$6:$C$305=$A231)*($B$6:$B$305="Project")*($D$6:$D$305&lt;&gt;"Proposed")*$I$6:$I$305)),0)</f>
        <v/>
      </c>
      <c r="U231" s="30">
        <f>IF($I231&lt;&gt;"",$I231,IF($T231&gt;0,$T231,""))</f>
        <v/>
      </c>
      <c r="V231" s="28">
        <f>IF(AND($A231&lt;&gt;"",$B231="Program"),SUMIFS($J$6:$J$305,$C$6:$C$305,$A231,$B$6:$B$305,"Project",$D$6:$D$305,"&lt;&gt;Proposed"),0)</f>
        <v/>
      </c>
      <c r="W231" s="28">
        <f>IF(AND($A231&lt;&gt;"",$B231="Program"),COUNTIFS($C$6:$C$305,$A231,$B$6:$B$305,"Project",$D$6:$D$305,"&lt;&gt;Proposed")-COUNTIFS($C$6:$C$305,$A231,$B$6:$B$305,"Project",$D$6:$D$305,"&lt;&gt;Proposed",$J$6:$J$305,"&gt;=0"),0)</f>
        <v/>
      </c>
      <c r="X231" s="28">
        <f>IF(OR($Q231=0,$H231="",$AF231="Sprint"),0,IF(AND($B231="Project",$H231&lt;TODAY()),3,IF($U231="",0,IF($U231&lt;=$H231,1,IF(NETWORKDAYS($H231,$U231)-1&gt;IF($B231="Program",Checks!$B$7,Checks!$B$6),3,2)))))</f>
        <v/>
      </c>
      <c r="Y231" s="28">
        <f>IF(OR($Q231=0,$K231="",$K231=0,$AF231="Sprint"),0,IF(AND($B231="Project",$J231=""),0,IF(IF($B231="Program",$V231,$J231)&gt;$K231*(1+Checks!$B$8),3,IF(IF($B231="Program",$V231,$J231)&gt;$K231,2,IF(AND($B231="Program",OR($W231&gt;0,$V231=0)),0,1)))))</f>
        <v/>
      </c>
      <c r="Z231" s="28">
        <f>IF($A231="",0,IF($C231="Portfolio",1,IF(AND($B231="Project",$C231&lt;&gt;"",$C231&lt;&gt;"Outside the portfolio"),IFERROR(IF(AND(INDEX($B$6:$B$305,MATCH($C231,$A$6:$A$305,0))="Program",INDEX($C$6:$C$305,MATCH($C231,$A$6:$A$305,0))="Portfolio"),1,0),0),0)))</f>
        <v/>
      </c>
      <c r="AA231" s="28">
        <f>IF(AND($A231&lt;&gt;"",$E231="",OR($Q231=1,$D231="Proposed")),1,0)</f>
        <v/>
      </c>
      <c r="AB231" s="28">
        <f>IF(AND($A231&lt;&gt;"",$B231="Program",$F231="",$Q231=1),1,0)</f>
        <v/>
      </c>
      <c r="AC231" s="28">
        <f>IF(OR($A231="",$D231="Completed",$D231="Terminated"),0,IF($C231="",1,IF($C231="Portfolio",0,IF($C231="Outside the portfolio",IF($Q231=1,2,0),IF($B231="Project",IF(IFERROR(INDEX($B$6:$B$305,MATCH($C231,$A$6:$A$305,0)),"")="Program",0,1),1)))))</f>
        <v/>
      </c>
      <c r="AD231" s="28">
        <f>IF(AND($A231&lt;&gt;"",OR($M231="■ Red",$M231="◧ Amber"),$L231=""),1,0)</f>
        <v/>
      </c>
      <c r="AE231" s="28">
        <f>$AA231+$AB231+IF($AC231&gt;0,1,0)+$AD231+$AG231+$AH231</f>
        <v/>
      </c>
      <c r="AF231" s="25" t="n"/>
      <c r="AG231" s="28">
        <f>IF(AND($A231&lt;&gt;"",$K231&lt;&gt;"",$C231&lt;&gt;"Portfolio",$D231&lt;&gt;"Completed",$D231&lt;&gt;"Terminated"),1,0)</f>
        <v/>
      </c>
      <c r="AH231" s="28">
        <f>IF(AND($A231&lt;&gt;"",COUNTIF($A$6:$A$305,$A231)&gt;1),1,0)</f>
        <v/>
      </c>
      <c r="AI231" s="28">
        <f>IF(AND($A231&lt;&gt;"",$C231="Portfolio"),COUNTIFS($C$6:$C231,"Portfolio",$A$6:$A231,"&lt;&gt;"),"")</f>
        <v/>
      </c>
    </row>
    <row r="232">
      <c r="A232" s="25" t="n"/>
      <c r="B232" s="25" t="n"/>
      <c r="C232" s="25" t="n"/>
      <c r="D232" s="25" t="n"/>
      <c r="E232" s="25" t="n"/>
      <c r="F232" s="25" t="n"/>
      <c r="G232" s="25" t="n"/>
      <c r="H232" s="26" t="n"/>
      <c r="I232" s="26" t="n"/>
      <c r="J232" s="27" t="n"/>
      <c r="K232" s="27" t="n"/>
      <c r="L232" s="23" t="n"/>
      <c r="M232" s="28">
        <f>IF($A232="","",IF($D232="","Not read",IF($Q232=0,"Not counted",IF(MAX($X232,$Y232)=3,"■ Red",IF(MAX($X232,$Y232)=2,"◧ Amber",IF(MAX($X232,$Y232)=1,"□ On track","Not read"))))))</f>
        <v/>
      </c>
      <c r="N232" s="28">
        <f>IF(OR($A232="",$B232&lt;&gt;"Program"),"","■ "&amp;COUNTIFS($C$6:$C$305,$A232,$M$6:$M$305,"■ Red")&amp;" Red, ◧ "&amp;COUNTIFS($C$6:$C$305,$A232,$M$6:$M$305,"◧ Amber")&amp;" Amber")</f>
        <v/>
      </c>
      <c r="O232" s="29">
        <f>IF(OR($A232="",$E232=""),"",COUNTIFS($E$6:$E$305,$E232,$D$6:$D$305,"Active")+COUNTIFS($E$6:$E$305,$E232,$D$6:$D$305,"Paused"))</f>
        <v/>
      </c>
      <c r="P232" s="28">
        <f>IF($A232="","",IF($AE232=0,"○ Clear",IF($AA232=1,"△ No owner",IF($AC232=1,"△ Check Sits under",IF($AC232=2,"△ Outside the portfolio",IF($AB232=1,"△ No sponsor",IF($AH232=1,"△ Name used twice",IF($AG232=1,"△ Budget only counts under Portfolio","△ No variance note"))))))&amp;IF($AE232&gt;1," (+"&amp;($AE232-1)&amp;" more)","")))</f>
        <v/>
      </c>
      <c r="Q232" s="28">
        <f>IF(AND($A232&lt;&gt;"",OR($D232="Active",$D232="Paused")),1,0)</f>
        <v/>
      </c>
      <c r="R232" s="28">
        <f>IFERROR(INDEX($A$6:$A$305,MATCH(225,$S$6:$S$305,0)),"")</f>
        <v/>
      </c>
      <c r="S232" s="28">
        <f>IF(AND($A232&lt;&gt;"",$B232="Program"),COUNTIFS($B$6:$B232,"Program",$A$6:$A232,"&lt;&gt;"),"")</f>
        <v/>
      </c>
      <c r="T232" s="30">
        <f>IF(AND($A232&lt;&gt;"",$B232="Program"),SUMPRODUCT(MAX(($C$6:$C$305=$A232)*($B$6:$B$305="Project")*($D$6:$D$305&lt;&gt;"Proposed")*$I$6:$I$305)),0)</f>
        <v/>
      </c>
      <c r="U232" s="30">
        <f>IF($I232&lt;&gt;"",$I232,IF($T232&gt;0,$T232,""))</f>
        <v/>
      </c>
      <c r="V232" s="28">
        <f>IF(AND($A232&lt;&gt;"",$B232="Program"),SUMIFS($J$6:$J$305,$C$6:$C$305,$A232,$B$6:$B$305,"Project",$D$6:$D$305,"&lt;&gt;Proposed"),0)</f>
        <v/>
      </c>
      <c r="W232" s="28">
        <f>IF(AND($A232&lt;&gt;"",$B232="Program"),COUNTIFS($C$6:$C$305,$A232,$B$6:$B$305,"Project",$D$6:$D$305,"&lt;&gt;Proposed")-COUNTIFS($C$6:$C$305,$A232,$B$6:$B$305,"Project",$D$6:$D$305,"&lt;&gt;Proposed",$J$6:$J$305,"&gt;=0"),0)</f>
        <v/>
      </c>
      <c r="X232" s="28">
        <f>IF(OR($Q232=0,$H232="",$AF232="Sprint"),0,IF(AND($B232="Project",$H232&lt;TODAY()),3,IF($U232="",0,IF($U232&lt;=$H232,1,IF(NETWORKDAYS($H232,$U232)-1&gt;IF($B232="Program",Checks!$B$7,Checks!$B$6),3,2)))))</f>
        <v/>
      </c>
      <c r="Y232" s="28">
        <f>IF(OR($Q232=0,$K232="",$K232=0,$AF232="Sprint"),0,IF(AND($B232="Project",$J232=""),0,IF(IF($B232="Program",$V232,$J232)&gt;$K232*(1+Checks!$B$8),3,IF(IF($B232="Program",$V232,$J232)&gt;$K232,2,IF(AND($B232="Program",OR($W232&gt;0,$V232=0)),0,1)))))</f>
        <v/>
      </c>
      <c r="Z232" s="28">
        <f>IF($A232="",0,IF($C232="Portfolio",1,IF(AND($B232="Project",$C232&lt;&gt;"",$C232&lt;&gt;"Outside the portfolio"),IFERROR(IF(AND(INDEX($B$6:$B$305,MATCH($C232,$A$6:$A$305,0))="Program",INDEX($C$6:$C$305,MATCH($C232,$A$6:$A$305,0))="Portfolio"),1,0),0),0)))</f>
        <v/>
      </c>
      <c r="AA232" s="28">
        <f>IF(AND($A232&lt;&gt;"",$E232="",OR($Q232=1,$D232="Proposed")),1,0)</f>
        <v/>
      </c>
      <c r="AB232" s="28">
        <f>IF(AND($A232&lt;&gt;"",$B232="Program",$F232="",$Q232=1),1,0)</f>
        <v/>
      </c>
      <c r="AC232" s="28">
        <f>IF(OR($A232="",$D232="Completed",$D232="Terminated"),0,IF($C232="",1,IF($C232="Portfolio",0,IF($C232="Outside the portfolio",IF($Q232=1,2,0),IF($B232="Project",IF(IFERROR(INDEX($B$6:$B$305,MATCH($C232,$A$6:$A$305,0)),"")="Program",0,1),1)))))</f>
        <v/>
      </c>
      <c r="AD232" s="28">
        <f>IF(AND($A232&lt;&gt;"",OR($M232="■ Red",$M232="◧ Amber"),$L232=""),1,0)</f>
        <v/>
      </c>
      <c r="AE232" s="28">
        <f>$AA232+$AB232+IF($AC232&gt;0,1,0)+$AD232+$AG232+$AH232</f>
        <v/>
      </c>
      <c r="AF232" s="25" t="n"/>
      <c r="AG232" s="28">
        <f>IF(AND($A232&lt;&gt;"",$K232&lt;&gt;"",$C232&lt;&gt;"Portfolio",$D232&lt;&gt;"Completed",$D232&lt;&gt;"Terminated"),1,0)</f>
        <v/>
      </c>
      <c r="AH232" s="28">
        <f>IF(AND($A232&lt;&gt;"",COUNTIF($A$6:$A$305,$A232)&gt;1),1,0)</f>
        <v/>
      </c>
      <c r="AI232" s="28">
        <f>IF(AND($A232&lt;&gt;"",$C232="Portfolio"),COUNTIFS($C$6:$C232,"Portfolio",$A$6:$A232,"&lt;&gt;"),"")</f>
        <v/>
      </c>
    </row>
    <row r="233">
      <c r="A233" s="25" t="n"/>
      <c r="B233" s="25" t="n"/>
      <c r="C233" s="25" t="n"/>
      <c r="D233" s="25" t="n"/>
      <c r="E233" s="25" t="n"/>
      <c r="F233" s="25" t="n"/>
      <c r="G233" s="25" t="n"/>
      <c r="H233" s="26" t="n"/>
      <c r="I233" s="26" t="n"/>
      <c r="J233" s="27" t="n"/>
      <c r="K233" s="27" t="n"/>
      <c r="L233" s="23" t="n"/>
      <c r="M233" s="28">
        <f>IF($A233="","",IF($D233="","Not read",IF($Q233=0,"Not counted",IF(MAX($X233,$Y233)=3,"■ Red",IF(MAX($X233,$Y233)=2,"◧ Amber",IF(MAX($X233,$Y233)=1,"□ On track","Not read"))))))</f>
        <v/>
      </c>
      <c r="N233" s="28">
        <f>IF(OR($A233="",$B233&lt;&gt;"Program"),"","■ "&amp;COUNTIFS($C$6:$C$305,$A233,$M$6:$M$305,"■ Red")&amp;" Red, ◧ "&amp;COUNTIFS($C$6:$C$305,$A233,$M$6:$M$305,"◧ Amber")&amp;" Amber")</f>
        <v/>
      </c>
      <c r="O233" s="29">
        <f>IF(OR($A233="",$E233=""),"",COUNTIFS($E$6:$E$305,$E233,$D$6:$D$305,"Active")+COUNTIFS($E$6:$E$305,$E233,$D$6:$D$305,"Paused"))</f>
        <v/>
      </c>
      <c r="P233" s="28">
        <f>IF($A233="","",IF($AE233=0,"○ Clear",IF($AA233=1,"△ No owner",IF($AC233=1,"△ Check Sits under",IF($AC233=2,"△ Outside the portfolio",IF($AB233=1,"△ No sponsor",IF($AH233=1,"△ Name used twice",IF($AG233=1,"△ Budget only counts under Portfolio","△ No variance note"))))))&amp;IF($AE233&gt;1," (+"&amp;($AE233-1)&amp;" more)","")))</f>
        <v/>
      </c>
      <c r="Q233" s="28">
        <f>IF(AND($A233&lt;&gt;"",OR($D233="Active",$D233="Paused")),1,0)</f>
        <v/>
      </c>
      <c r="R233" s="28">
        <f>IFERROR(INDEX($A$6:$A$305,MATCH(226,$S$6:$S$305,0)),"")</f>
        <v/>
      </c>
      <c r="S233" s="28">
        <f>IF(AND($A233&lt;&gt;"",$B233="Program"),COUNTIFS($B$6:$B233,"Program",$A$6:$A233,"&lt;&gt;"),"")</f>
        <v/>
      </c>
      <c r="T233" s="30">
        <f>IF(AND($A233&lt;&gt;"",$B233="Program"),SUMPRODUCT(MAX(($C$6:$C$305=$A233)*($B$6:$B$305="Project")*($D$6:$D$305&lt;&gt;"Proposed")*$I$6:$I$305)),0)</f>
        <v/>
      </c>
      <c r="U233" s="30">
        <f>IF($I233&lt;&gt;"",$I233,IF($T233&gt;0,$T233,""))</f>
        <v/>
      </c>
      <c r="V233" s="28">
        <f>IF(AND($A233&lt;&gt;"",$B233="Program"),SUMIFS($J$6:$J$305,$C$6:$C$305,$A233,$B$6:$B$305,"Project",$D$6:$D$305,"&lt;&gt;Proposed"),0)</f>
        <v/>
      </c>
      <c r="W233" s="28">
        <f>IF(AND($A233&lt;&gt;"",$B233="Program"),COUNTIFS($C$6:$C$305,$A233,$B$6:$B$305,"Project",$D$6:$D$305,"&lt;&gt;Proposed")-COUNTIFS($C$6:$C$305,$A233,$B$6:$B$305,"Project",$D$6:$D$305,"&lt;&gt;Proposed",$J$6:$J$305,"&gt;=0"),0)</f>
        <v/>
      </c>
      <c r="X233" s="28">
        <f>IF(OR($Q233=0,$H233="",$AF233="Sprint"),0,IF(AND($B233="Project",$H233&lt;TODAY()),3,IF($U233="",0,IF($U233&lt;=$H233,1,IF(NETWORKDAYS($H233,$U233)-1&gt;IF($B233="Program",Checks!$B$7,Checks!$B$6),3,2)))))</f>
        <v/>
      </c>
      <c r="Y233" s="28">
        <f>IF(OR($Q233=0,$K233="",$K233=0,$AF233="Sprint"),0,IF(AND($B233="Project",$J233=""),0,IF(IF($B233="Program",$V233,$J233)&gt;$K233*(1+Checks!$B$8),3,IF(IF($B233="Program",$V233,$J233)&gt;$K233,2,IF(AND($B233="Program",OR($W233&gt;0,$V233=0)),0,1)))))</f>
        <v/>
      </c>
      <c r="Z233" s="28">
        <f>IF($A233="",0,IF($C233="Portfolio",1,IF(AND($B233="Project",$C233&lt;&gt;"",$C233&lt;&gt;"Outside the portfolio"),IFERROR(IF(AND(INDEX($B$6:$B$305,MATCH($C233,$A$6:$A$305,0))="Program",INDEX($C$6:$C$305,MATCH($C233,$A$6:$A$305,0))="Portfolio"),1,0),0),0)))</f>
        <v/>
      </c>
      <c r="AA233" s="28">
        <f>IF(AND($A233&lt;&gt;"",$E233="",OR($Q233=1,$D233="Proposed")),1,0)</f>
        <v/>
      </c>
      <c r="AB233" s="28">
        <f>IF(AND($A233&lt;&gt;"",$B233="Program",$F233="",$Q233=1),1,0)</f>
        <v/>
      </c>
      <c r="AC233" s="28">
        <f>IF(OR($A233="",$D233="Completed",$D233="Terminated"),0,IF($C233="",1,IF($C233="Portfolio",0,IF($C233="Outside the portfolio",IF($Q233=1,2,0),IF($B233="Project",IF(IFERROR(INDEX($B$6:$B$305,MATCH($C233,$A$6:$A$305,0)),"")="Program",0,1),1)))))</f>
        <v/>
      </c>
      <c r="AD233" s="28">
        <f>IF(AND($A233&lt;&gt;"",OR($M233="■ Red",$M233="◧ Amber"),$L233=""),1,0)</f>
        <v/>
      </c>
      <c r="AE233" s="28">
        <f>$AA233+$AB233+IF($AC233&gt;0,1,0)+$AD233+$AG233+$AH233</f>
        <v/>
      </c>
      <c r="AF233" s="25" t="n"/>
      <c r="AG233" s="28">
        <f>IF(AND($A233&lt;&gt;"",$K233&lt;&gt;"",$C233&lt;&gt;"Portfolio",$D233&lt;&gt;"Completed",$D233&lt;&gt;"Terminated"),1,0)</f>
        <v/>
      </c>
      <c r="AH233" s="28">
        <f>IF(AND($A233&lt;&gt;"",COUNTIF($A$6:$A$305,$A233)&gt;1),1,0)</f>
        <v/>
      </c>
      <c r="AI233" s="28">
        <f>IF(AND($A233&lt;&gt;"",$C233="Portfolio"),COUNTIFS($C$6:$C233,"Portfolio",$A$6:$A233,"&lt;&gt;"),"")</f>
        <v/>
      </c>
    </row>
    <row r="234">
      <c r="A234" s="25" t="n"/>
      <c r="B234" s="25" t="n"/>
      <c r="C234" s="25" t="n"/>
      <c r="D234" s="25" t="n"/>
      <c r="E234" s="25" t="n"/>
      <c r="F234" s="25" t="n"/>
      <c r="G234" s="25" t="n"/>
      <c r="H234" s="26" t="n"/>
      <c r="I234" s="26" t="n"/>
      <c r="J234" s="27" t="n"/>
      <c r="K234" s="27" t="n"/>
      <c r="L234" s="23" t="n"/>
      <c r="M234" s="28">
        <f>IF($A234="","",IF($D234="","Not read",IF($Q234=0,"Not counted",IF(MAX($X234,$Y234)=3,"■ Red",IF(MAX($X234,$Y234)=2,"◧ Amber",IF(MAX($X234,$Y234)=1,"□ On track","Not read"))))))</f>
        <v/>
      </c>
      <c r="N234" s="28">
        <f>IF(OR($A234="",$B234&lt;&gt;"Program"),"","■ "&amp;COUNTIFS($C$6:$C$305,$A234,$M$6:$M$305,"■ Red")&amp;" Red, ◧ "&amp;COUNTIFS($C$6:$C$305,$A234,$M$6:$M$305,"◧ Amber")&amp;" Amber")</f>
        <v/>
      </c>
      <c r="O234" s="29">
        <f>IF(OR($A234="",$E234=""),"",COUNTIFS($E$6:$E$305,$E234,$D$6:$D$305,"Active")+COUNTIFS($E$6:$E$305,$E234,$D$6:$D$305,"Paused"))</f>
        <v/>
      </c>
      <c r="P234" s="28">
        <f>IF($A234="","",IF($AE234=0,"○ Clear",IF($AA234=1,"△ No owner",IF($AC234=1,"△ Check Sits under",IF($AC234=2,"△ Outside the portfolio",IF($AB234=1,"△ No sponsor",IF($AH234=1,"△ Name used twice",IF($AG234=1,"△ Budget only counts under Portfolio","△ No variance note"))))))&amp;IF($AE234&gt;1," (+"&amp;($AE234-1)&amp;" more)","")))</f>
        <v/>
      </c>
      <c r="Q234" s="28">
        <f>IF(AND($A234&lt;&gt;"",OR($D234="Active",$D234="Paused")),1,0)</f>
        <v/>
      </c>
      <c r="R234" s="28">
        <f>IFERROR(INDEX($A$6:$A$305,MATCH(227,$S$6:$S$305,0)),"")</f>
        <v/>
      </c>
      <c r="S234" s="28">
        <f>IF(AND($A234&lt;&gt;"",$B234="Program"),COUNTIFS($B$6:$B234,"Program",$A$6:$A234,"&lt;&gt;"),"")</f>
        <v/>
      </c>
      <c r="T234" s="30">
        <f>IF(AND($A234&lt;&gt;"",$B234="Program"),SUMPRODUCT(MAX(($C$6:$C$305=$A234)*($B$6:$B$305="Project")*($D$6:$D$305&lt;&gt;"Proposed")*$I$6:$I$305)),0)</f>
        <v/>
      </c>
      <c r="U234" s="30">
        <f>IF($I234&lt;&gt;"",$I234,IF($T234&gt;0,$T234,""))</f>
        <v/>
      </c>
      <c r="V234" s="28">
        <f>IF(AND($A234&lt;&gt;"",$B234="Program"),SUMIFS($J$6:$J$305,$C$6:$C$305,$A234,$B$6:$B$305,"Project",$D$6:$D$305,"&lt;&gt;Proposed"),0)</f>
        <v/>
      </c>
      <c r="W234" s="28">
        <f>IF(AND($A234&lt;&gt;"",$B234="Program"),COUNTIFS($C$6:$C$305,$A234,$B$6:$B$305,"Project",$D$6:$D$305,"&lt;&gt;Proposed")-COUNTIFS($C$6:$C$305,$A234,$B$6:$B$305,"Project",$D$6:$D$305,"&lt;&gt;Proposed",$J$6:$J$305,"&gt;=0"),0)</f>
        <v/>
      </c>
      <c r="X234" s="28">
        <f>IF(OR($Q234=0,$H234="",$AF234="Sprint"),0,IF(AND($B234="Project",$H234&lt;TODAY()),3,IF($U234="",0,IF($U234&lt;=$H234,1,IF(NETWORKDAYS($H234,$U234)-1&gt;IF($B234="Program",Checks!$B$7,Checks!$B$6),3,2)))))</f>
        <v/>
      </c>
      <c r="Y234" s="28">
        <f>IF(OR($Q234=0,$K234="",$K234=0,$AF234="Sprint"),0,IF(AND($B234="Project",$J234=""),0,IF(IF($B234="Program",$V234,$J234)&gt;$K234*(1+Checks!$B$8),3,IF(IF($B234="Program",$V234,$J234)&gt;$K234,2,IF(AND($B234="Program",OR($W234&gt;0,$V234=0)),0,1)))))</f>
        <v/>
      </c>
      <c r="Z234" s="28">
        <f>IF($A234="",0,IF($C234="Portfolio",1,IF(AND($B234="Project",$C234&lt;&gt;"",$C234&lt;&gt;"Outside the portfolio"),IFERROR(IF(AND(INDEX($B$6:$B$305,MATCH($C234,$A$6:$A$305,0))="Program",INDEX($C$6:$C$305,MATCH($C234,$A$6:$A$305,0))="Portfolio"),1,0),0),0)))</f>
        <v/>
      </c>
      <c r="AA234" s="28">
        <f>IF(AND($A234&lt;&gt;"",$E234="",OR($Q234=1,$D234="Proposed")),1,0)</f>
        <v/>
      </c>
      <c r="AB234" s="28">
        <f>IF(AND($A234&lt;&gt;"",$B234="Program",$F234="",$Q234=1),1,0)</f>
        <v/>
      </c>
      <c r="AC234" s="28">
        <f>IF(OR($A234="",$D234="Completed",$D234="Terminated"),0,IF($C234="",1,IF($C234="Portfolio",0,IF($C234="Outside the portfolio",IF($Q234=1,2,0),IF($B234="Project",IF(IFERROR(INDEX($B$6:$B$305,MATCH($C234,$A$6:$A$305,0)),"")="Program",0,1),1)))))</f>
        <v/>
      </c>
      <c r="AD234" s="28">
        <f>IF(AND($A234&lt;&gt;"",OR($M234="■ Red",$M234="◧ Amber"),$L234=""),1,0)</f>
        <v/>
      </c>
      <c r="AE234" s="28">
        <f>$AA234+$AB234+IF($AC234&gt;0,1,0)+$AD234+$AG234+$AH234</f>
        <v/>
      </c>
      <c r="AF234" s="25" t="n"/>
      <c r="AG234" s="28">
        <f>IF(AND($A234&lt;&gt;"",$K234&lt;&gt;"",$C234&lt;&gt;"Portfolio",$D234&lt;&gt;"Completed",$D234&lt;&gt;"Terminated"),1,0)</f>
        <v/>
      </c>
      <c r="AH234" s="28">
        <f>IF(AND($A234&lt;&gt;"",COUNTIF($A$6:$A$305,$A234)&gt;1),1,0)</f>
        <v/>
      </c>
      <c r="AI234" s="28">
        <f>IF(AND($A234&lt;&gt;"",$C234="Portfolio"),COUNTIFS($C$6:$C234,"Portfolio",$A$6:$A234,"&lt;&gt;"),"")</f>
        <v/>
      </c>
    </row>
    <row r="235">
      <c r="A235" s="25" t="n"/>
      <c r="B235" s="25" t="n"/>
      <c r="C235" s="25" t="n"/>
      <c r="D235" s="25" t="n"/>
      <c r="E235" s="25" t="n"/>
      <c r="F235" s="25" t="n"/>
      <c r="G235" s="25" t="n"/>
      <c r="H235" s="26" t="n"/>
      <c r="I235" s="26" t="n"/>
      <c r="J235" s="27" t="n"/>
      <c r="K235" s="27" t="n"/>
      <c r="L235" s="23" t="n"/>
      <c r="M235" s="28">
        <f>IF($A235="","",IF($D235="","Not read",IF($Q235=0,"Not counted",IF(MAX($X235,$Y235)=3,"■ Red",IF(MAX($X235,$Y235)=2,"◧ Amber",IF(MAX($X235,$Y235)=1,"□ On track","Not read"))))))</f>
        <v/>
      </c>
      <c r="N235" s="28">
        <f>IF(OR($A235="",$B235&lt;&gt;"Program"),"","■ "&amp;COUNTIFS($C$6:$C$305,$A235,$M$6:$M$305,"■ Red")&amp;" Red, ◧ "&amp;COUNTIFS($C$6:$C$305,$A235,$M$6:$M$305,"◧ Amber")&amp;" Amber")</f>
        <v/>
      </c>
      <c r="O235" s="29">
        <f>IF(OR($A235="",$E235=""),"",COUNTIFS($E$6:$E$305,$E235,$D$6:$D$305,"Active")+COUNTIFS($E$6:$E$305,$E235,$D$6:$D$305,"Paused"))</f>
        <v/>
      </c>
      <c r="P235" s="28">
        <f>IF($A235="","",IF($AE235=0,"○ Clear",IF($AA235=1,"△ No owner",IF($AC235=1,"△ Check Sits under",IF($AC235=2,"△ Outside the portfolio",IF($AB235=1,"△ No sponsor",IF($AH235=1,"△ Name used twice",IF($AG235=1,"△ Budget only counts under Portfolio","△ No variance note"))))))&amp;IF($AE235&gt;1," (+"&amp;($AE235-1)&amp;" more)","")))</f>
        <v/>
      </c>
      <c r="Q235" s="28">
        <f>IF(AND($A235&lt;&gt;"",OR($D235="Active",$D235="Paused")),1,0)</f>
        <v/>
      </c>
      <c r="R235" s="28">
        <f>IFERROR(INDEX($A$6:$A$305,MATCH(228,$S$6:$S$305,0)),"")</f>
        <v/>
      </c>
      <c r="S235" s="28">
        <f>IF(AND($A235&lt;&gt;"",$B235="Program"),COUNTIFS($B$6:$B235,"Program",$A$6:$A235,"&lt;&gt;"),"")</f>
        <v/>
      </c>
      <c r="T235" s="30">
        <f>IF(AND($A235&lt;&gt;"",$B235="Program"),SUMPRODUCT(MAX(($C$6:$C$305=$A235)*($B$6:$B$305="Project")*($D$6:$D$305&lt;&gt;"Proposed")*$I$6:$I$305)),0)</f>
        <v/>
      </c>
      <c r="U235" s="30">
        <f>IF($I235&lt;&gt;"",$I235,IF($T235&gt;0,$T235,""))</f>
        <v/>
      </c>
      <c r="V235" s="28">
        <f>IF(AND($A235&lt;&gt;"",$B235="Program"),SUMIFS($J$6:$J$305,$C$6:$C$305,$A235,$B$6:$B$305,"Project",$D$6:$D$305,"&lt;&gt;Proposed"),0)</f>
        <v/>
      </c>
      <c r="W235" s="28">
        <f>IF(AND($A235&lt;&gt;"",$B235="Program"),COUNTIFS($C$6:$C$305,$A235,$B$6:$B$305,"Project",$D$6:$D$305,"&lt;&gt;Proposed")-COUNTIFS($C$6:$C$305,$A235,$B$6:$B$305,"Project",$D$6:$D$305,"&lt;&gt;Proposed",$J$6:$J$305,"&gt;=0"),0)</f>
        <v/>
      </c>
      <c r="X235" s="28">
        <f>IF(OR($Q235=0,$H235="",$AF235="Sprint"),0,IF(AND($B235="Project",$H235&lt;TODAY()),3,IF($U235="",0,IF($U235&lt;=$H235,1,IF(NETWORKDAYS($H235,$U235)-1&gt;IF($B235="Program",Checks!$B$7,Checks!$B$6),3,2)))))</f>
        <v/>
      </c>
      <c r="Y235" s="28">
        <f>IF(OR($Q235=0,$K235="",$K235=0,$AF235="Sprint"),0,IF(AND($B235="Project",$J235=""),0,IF(IF($B235="Program",$V235,$J235)&gt;$K235*(1+Checks!$B$8),3,IF(IF($B235="Program",$V235,$J235)&gt;$K235,2,IF(AND($B235="Program",OR($W235&gt;0,$V235=0)),0,1)))))</f>
        <v/>
      </c>
      <c r="Z235" s="28">
        <f>IF($A235="",0,IF($C235="Portfolio",1,IF(AND($B235="Project",$C235&lt;&gt;"",$C235&lt;&gt;"Outside the portfolio"),IFERROR(IF(AND(INDEX($B$6:$B$305,MATCH($C235,$A$6:$A$305,0))="Program",INDEX($C$6:$C$305,MATCH($C235,$A$6:$A$305,0))="Portfolio"),1,0),0),0)))</f>
        <v/>
      </c>
      <c r="AA235" s="28">
        <f>IF(AND($A235&lt;&gt;"",$E235="",OR($Q235=1,$D235="Proposed")),1,0)</f>
        <v/>
      </c>
      <c r="AB235" s="28">
        <f>IF(AND($A235&lt;&gt;"",$B235="Program",$F235="",$Q235=1),1,0)</f>
        <v/>
      </c>
      <c r="AC235" s="28">
        <f>IF(OR($A235="",$D235="Completed",$D235="Terminated"),0,IF($C235="",1,IF($C235="Portfolio",0,IF($C235="Outside the portfolio",IF($Q235=1,2,0),IF($B235="Project",IF(IFERROR(INDEX($B$6:$B$305,MATCH($C235,$A$6:$A$305,0)),"")="Program",0,1),1)))))</f>
        <v/>
      </c>
      <c r="AD235" s="28">
        <f>IF(AND($A235&lt;&gt;"",OR($M235="■ Red",$M235="◧ Amber"),$L235=""),1,0)</f>
        <v/>
      </c>
      <c r="AE235" s="28">
        <f>$AA235+$AB235+IF($AC235&gt;0,1,0)+$AD235+$AG235+$AH235</f>
        <v/>
      </c>
      <c r="AF235" s="25" t="n"/>
      <c r="AG235" s="28">
        <f>IF(AND($A235&lt;&gt;"",$K235&lt;&gt;"",$C235&lt;&gt;"Portfolio",$D235&lt;&gt;"Completed",$D235&lt;&gt;"Terminated"),1,0)</f>
        <v/>
      </c>
      <c r="AH235" s="28">
        <f>IF(AND($A235&lt;&gt;"",COUNTIF($A$6:$A$305,$A235)&gt;1),1,0)</f>
        <v/>
      </c>
      <c r="AI235" s="28">
        <f>IF(AND($A235&lt;&gt;"",$C235="Portfolio"),COUNTIFS($C$6:$C235,"Portfolio",$A$6:$A235,"&lt;&gt;"),"")</f>
        <v/>
      </c>
    </row>
    <row r="236">
      <c r="A236" s="25" t="n"/>
      <c r="B236" s="25" t="n"/>
      <c r="C236" s="25" t="n"/>
      <c r="D236" s="25" t="n"/>
      <c r="E236" s="25" t="n"/>
      <c r="F236" s="25" t="n"/>
      <c r="G236" s="25" t="n"/>
      <c r="H236" s="26" t="n"/>
      <c r="I236" s="26" t="n"/>
      <c r="J236" s="27" t="n"/>
      <c r="K236" s="27" t="n"/>
      <c r="L236" s="23" t="n"/>
      <c r="M236" s="28">
        <f>IF($A236="","",IF($D236="","Not read",IF($Q236=0,"Not counted",IF(MAX($X236,$Y236)=3,"■ Red",IF(MAX($X236,$Y236)=2,"◧ Amber",IF(MAX($X236,$Y236)=1,"□ On track","Not read"))))))</f>
        <v/>
      </c>
      <c r="N236" s="28">
        <f>IF(OR($A236="",$B236&lt;&gt;"Program"),"","■ "&amp;COUNTIFS($C$6:$C$305,$A236,$M$6:$M$305,"■ Red")&amp;" Red, ◧ "&amp;COUNTIFS($C$6:$C$305,$A236,$M$6:$M$305,"◧ Amber")&amp;" Amber")</f>
        <v/>
      </c>
      <c r="O236" s="29">
        <f>IF(OR($A236="",$E236=""),"",COUNTIFS($E$6:$E$305,$E236,$D$6:$D$305,"Active")+COUNTIFS($E$6:$E$305,$E236,$D$6:$D$305,"Paused"))</f>
        <v/>
      </c>
      <c r="P236" s="28">
        <f>IF($A236="","",IF($AE236=0,"○ Clear",IF($AA236=1,"△ No owner",IF($AC236=1,"△ Check Sits under",IF($AC236=2,"△ Outside the portfolio",IF($AB236=1,"△ No sponsor",IF($AH236=1,"△ Name used twice",IF($AG236=1,"△ Budget only counts under Portfolio","△ No variance note"))))))&amp;IF($AE236&gt;1," (+"&amp;($AE236-1)&amp;" more)","")))</f>
        <v/>
      </c>
      <c r="Q236" s="28">
        <f>IF(AND($A236&lt;&gt;"",OR($D236="Active",$D236="Paused")),1,0)</f>
        <v/>
      </c>
      <c r="R236" s="28">
        <f>IFERROR(INDEX($A$6:$A$305,MATCH(229,$S$6:$S$305,0)),"")</f>
        <v/>
      </c>
      <c r="S236" s="28">
        <f>IF(AND($A236&lt;&gt;"",$B236="Program"),COUNTIFS($B$6:$B236,"Program",$A$6:$A236,"&lt;&gt;"),"")</f>
        <v/>
      </c>
      <c r="T236" s="30">
        <f>IF(AND($A236&lt;&gt;"",$B236="Program"),SUMPRODUCT(MAX(($C$6:$C$305=$A236)*($B$6:$B$305="Project")*($D$6:$D$305&lt;&gt;"Proposed")*$I$6:$I$305)),0)</f>
        <v/>
      </c>
      <c r="U236" s="30">
        <f>IF($I236&lt;&gt;"",$I236,IF($T236&gt;0,$T236,""))</f>
        <v/>
      </c>
      <c r="V236" s="28">
        <f>IF(AND($A236&lt;&gt;"",$B236="Program"),SUMIFS($J$6:$J$305,$C$6:$C$305,$A236,$B$6:$B$305,"Project",$D$6:$D$305,"&lt;&gt;Proposed"),0)</f>
        <v/>
      </c>
      <c r="W236" s="28">
        <f>IF(AND($A236&lt;&gt;"",$B236="Program"),COUNTIFS($C$6:$C$305,$A236,$B$6:$B$305,"Project",$D$6:$D$305,"&lt;&gt;Proposed")-COUNTIFS($C$6:$C$305,$A236,$B$6:$B$305,"Project",$D$6:$D$305,"&lt;&gt;Proposed",$J$6:$J$305,"&gt;=0"),0)</f>
        <v/>
      </c>
      <c r="X236" s="28">
        <f>IF(OR($Q236=0,$H236="",$AF236="Sprint"),0,IF(AND($B236="Project",$H236&lt;TODAY()),3,IF($U236="",0,IF($U236&lt;=$H236,1,IF(NETWORKDAYS($H236,$U236)-1&gt;IF($B236="Program",Checks!$B$7,Checks!$B$6),3,2)))))</f>
        <v/>
      </c>
      <c r="Y236" s="28">
        <f>IF(OR($Q236=0,$K236="",$K236=0,$AF236="Sprint"),0,IF(AND($B236="Project",$J236=""),0,IF(IF($B236="Program",$V236,$J236)&gt;$K236*(1+Checks!$B$8),3,IF(IF($B236="Program",$V236,$J236)&gt;$K236,2,IF(AND($B236="Program",OR($W236&gt;0,$V236=0)),0,1)))))</f>
        <v/>
      </c>
      <c r="Z236" s="28">
        <f>IF($A236="",0,IF($C236="Portfolio",1,IF(AND($B236="Project",$C236&lt;&gt;"",$C236&lt;&gt;"Outside the portfolio"),IFERROR(IF(AND(INDEX($B$6:$B$305,MATCH($C236,$A$6:$A$305,0))="Program",INDEX($C$6:$C$305,MATCH($C236,$A$6:$A$305,0))="Portfolio"),1,0),0),0)))</f>
        <v/>
      </c>
      <c r="AA236" s="28">
        <f>IF(AND($A236&lt;&gt;"",$E236="",OR($Q236=1,$D236="Proposed")),1,0)</f>
        <v/>
      </c>
      <c r="AB236" s="28">
        <f>IF(AND($A236&lt;&gt;"",$B236="Program",$F236="",$Q236=1),1,0)</f>
        <v/>
      </c>
      <c r="AC236" s="28">
        <f>IF(OR($A236="",$D236="Completed",$D236="Terminated"),0,IF($C236="",1,IF($C236="Portfolio",0,IF($C236="Outside the portfolio",IF($Q236=1,2,0),IF($B236="Project",IF(IFERROR(INDEX($B$6:$B$305,MATCH($C236,$A$6:$A$305,0)),"")="Program",0,1),1)))))</f>
        <v/>
      </c>
      <c r="AD236" s="28">
        <f>IF(AND($A236&lt;&gt;"",OR($M236="■ Red",$M236="◧ Amber"),$L236=""),1,0)</f>
        <v/>
      </c>
      <c r="AE236" s="28">
        <f>$AA236+$AB236+IF($AC236&gt;0,1,0)+$AD236+$AG236+$AH236</f>
        <v/>
      </c>
      <c r="AF236" s="25" t="n"/>
      <c r="AG236" s="28">
        <f>IF(AND($A236&lt;&gt;"",$K236&lt;&gt;"",$C236&lt;&gt;"Portfolio",$D236&lt;&gt;"Completed",$D236&lt;&gt;"Terminated"),1,0)</f>
        <v/>
      </c>
      <c r="AH236" s="28">
        <f>IF(AND($A236&lt;&gt;"",COUNTIF($A$6:$A$305,$A236)&gt;1),1,0)</f>
        <v/>
      </c>
      <c r="AI236" s="28">
        <f>IF(AND($A236&lt;&gt;"",$C236="Portfolio"),COUNTIFS($C$6:$C236,"Portfolio",$A$6:$A236,"&lt;&gt;"),"")</f>
        <v/>
      </c>
    </row>
    <row r="237">
      <c r="A237" s="25" t="n"/>
      <c r="B237" s="25" t="n"/>
      <c r="C237" s="25" t="n"/>
      <c r="D237" s="25" t="n"/>
      <c r="E237" s="25" t="n"/>
      <c r="F237" s="25" t="n"/>
      <c r="G237" s="25" t="n"/>
      <c r="H237" s="26" t="n"/>
      <c r="I237" s="26" t="n"/>
      <c r="J237" s="27" t="n"/>
      <c r="K237" s="27" t="n"/>
      <c r="L237" s="23" t="n"/>
      <c r="M237" s="28">
        <f>IF($A237="","",IF($D237="","Not read",IF($Q237=0,"Not counted",IF(MAX($X237,$Y237)=3,"■ Red",IF(MAX($X237,$Y237)=2,"◧ Amber",IF(MAX($X237,$Y237)=1,"□ On track","Not read"))))))</f>
        <v/>
      </c>
      <c r="N237" s="28">
        <f>IF(OR($A237="",$B237&lt;&gt;"Program"),"","■ "&amp;COUNTIFS($C$6:$C$305,$A237,$M$6:$M$305,"■ Red")&amp;" Red, ◧ "&amp;COUNTIFS($C$6:$C$305,$A237,$M$6:$M$305,"◧ Amber")&amp;" Amber")</f>
        <v/>
      </c>
      <c r="O237" s="29">
        <f>IF(OR($A237="",$E237=""),"",COUNTIFS($E$6:$E$305,$E237,$D$6:$D$305,"Active")+COUNTIFS($E$6:$E$305,$E237,$D$6:$D$305,"Paused"))</f>
        <v/>
      </c>
      <c r="P237" s="28">
        <f>IF($A237="","",IF($AE237=0,"○ Clear",IF($AA237=1,"△ No owner",IF($AC237=1,"△ Check Sits under",IF($AC237=2,"△ Outside the portfolio",IF($AB237=1,"△ No sponsor",IF($AH237=1,"△ Name used twice",IF($AG237=1,"△ Budget only counts under Portfolio","△ No variance note"))))))&amp;IF($AE237&gt;1," (+"&amp;($AE237-1)&amp;" more)","")))</f>
        <v/>
      </c>
      <c r="Q237" s="28">
        <f>IF(AND($A237&lt;&gt;"",OR($D237="Active",$D237="Paused")),1,0)</f>
        <v/>
      </c>
      <c r="R237" s="28">
        <f>IFERROR(INDEX($A$6:$A$305,MATCH(230,$S$6:$S$305,0)),"")</f>
        <v/>
      </c>
      <c r="S237" s="28">
        <f>IF(AND($A237&lt;&gt;"",$B237="Program"),COUNTIFS($B$6:$B237,"Program",$A$6:$A237,"&lt;&gt;"),"")</f>
        <v/>
      </c>
      <c r="T237" s="30">
        <f>IF(AND($A237&lt;&gt;"",$B237="Program"),SUMPRODUCT(MAX(($C$6:$C$305=$A237)*($B$6:$B$305="Project")*($D$6:$D$305&lt;&gt;"Proposed")*$I$6:$I$305)),0)</f>
        <v/>
      </c>
      <c r="U237" s="30">
        <f>IF($I237&lt;&gt;"",$I237,IF($T237&gt;0,$T237,""))</f>
        <v/>
      </c>
      <c r="V237" s="28">
        <f>IF(AND($A237&lt;&gt;"",$B237="Program"),SUMIFS($J$6:$J$305,$C$6:$C$305,$A237,$B$6:$B$305,"Project",$D$6:$D$305,"&lt;&gt;Proposed"),0)</f>
        <v/>
      </c>
      <c r="W237" s="28">
        <f>IF(AND($A237&lt;&gt;"",$B237="Program"),COUNTIFS($C$6:$C$305,$A237,$B$6:$B$305,"Project",$D$6:$D$305,"&lt;&gt;Proposed")-COUNTIFS($C$6:$C$305,$A237,$B$6:$B$305,"Project",$D$6:$D$305,"&lt;&gt;Proposed",$J$6:$J$305,"&gt;=0"),0)</f>
        <v/>
      </c>
      <c r="X237" s="28">
        <f>IF(OR($Q237=0,$H237="",$AF237="Sprint"),0,IF(AND($B237="Project",$H237&lt;TODAY()),3,IF($U237="",0,IF($U237&lt;=$H237,1,IF(NETWORKDAYS($H237,$U237)-1&gt;IF($B237="Program",Checks!$B$7,Checks!$B$6),3,2)))))</f>
        <v/>
      </c>
      <c r="Y237" s="28">
        <f>IF(OR($Q237=0,$K237="",$K237=0,$AF237="Sprint"),0,IF(AND($B237="Project",$J237=""),0,IF(IF($B237="Program",$V237,$J237)&gt;$K237*(1+Checks!$B$8),3,IF(IF($B237="Program",$V237,$J237)&gt;$K237,2,IF(AND($B237="Program",OR($W237&gt;0,$V237=0)),0,1)))))</f>
        <v/>
      </c>
      <c r="Z237" s="28">
        <f>IF($A237="",0,IF($C237="Portfolio",1,IF(AND($B237="Project",$C237&lt;&gt;"",$C237&lt;&gt;"Outside the portfolio"),IFERROR(IF(AND(INDEX($B$6:$B$305,MATCH($C237,$A$6:$A$305,0))="Program",INDEX($C$6:$C$305,MATCH($C237,$A$6:$A$305,0))="Portfolio"),1,0),0),0)))</f>
        <v/>
      </c>
      <c r="AA237" s="28">
        <f>IF(AND($A237&lt;&gt;"",$E237="",OR($Q237=1,$D237="Proposed")),1,0)</f>
        <v/>
      </c>
      <c r="AB237" s="28">
        <f>IF(AND($A237&lt;&gt;"",$B237="Program",$F237="",$Q237=1),1,0)</f>
        <v/>
      </c>
      <c r="AC237" s="28">
        <f>IF(OR($A237="",$D237="Completed",$D237="Terminated"),0,IF($C237="",1,IF($C237="Portfolio",0,IF($C237="Outside the portfolio",IF($Q237=1,2,0),IF($B237="Project",IF(IFERROR(INDEX($B$6:$B$305,MATCH($C237,$A$6:$A$305,0)),"")="Program",0,1),1)))))</f>
        <v/>
      </c>
      <c r="AD237" s="28">
        <f>IF(AND($A237&lt;&gt;"",OR($M237="■ Red",$M237="◧ Amber"),$L237=""),1,0)</f>
        <v/>
      </c>
      <c r="AE237" s="28">
        <f>$AA237+$AB237+IF($AC237&gt;0,1,0)+$AD237+$AG237+$AH237</f>
        <v/>
      </c>
      <c r="AF237" s="25" t="n"/>
      <c r="AG237" s="28">
        <f>IF(AND($A237&lt;&gt;"",$K237&lt;&gt;"",$C237&lt;&gt;"Portfolio",$D237&lt;&gt;"Completed",$D237&lt;&gt;"Terminated"),1,0)</f>
        <v/>
      </c>
      <c r="AH237" s="28">
        <f>IF(AND($A237&lt;&gt;"",COUNTIF($A$6:$A$305,$A237)&gt;1),1,0)</f>
        <v/>
      </c>
      <c r="AI237" s="28">
        <f>IF(AND($A237&lt;&gt;"",$C237="Portfolio"),COUNTIFS($C$6:$C237,"Portfolio",$A$6:$A237,"&lt;&gt;"),"")</f>
        <v/>
      </c>
    </row>
    <row r="238">
      <c r="A238" s="25" t="n"/>
      <c r="B238" s="25" t="n"/>
      <c r="C238" s="25" t="n"/>
      <c r="D238" s="25" t="n"/>
      <c r="E238" s="25" t="n"/>
      <c r="F238" s="25" t="n"/>
      <c r="G238" s="25" t="n"/>
      <c r="H238" s="26" t="n"/>
      <c r="I238" s="26" t="n"/>
      <c r="J238" s="27" t="n"/>
      <c r="K238" s="27" t="n"/>
      <c r="L238" s="23" t="n"/>
      <c r="M238" s="28">
        <f>IF($A238="","",IF($D238="","Not read",IF($Q238=0,"Not counted",IF(MAX($X238,$Y238)=3,"■ Red",IF(MAX($X238,$Y238)=2,"◧ Amber",IF(MAX($X238,$Y238)=1,"□ On track","Not read"))))))</f>
        <v/>
      </c>
      <c r="N238" s="28">
        <f>IF(OR($A238="",$B238&lt;&gt;"Program"),"","■ "&amp;COUNTIFS($C$6:$C$305,$A238,$M$6:$M$305,"■ Red")&amp;" Red, ◧ "&amp;COUNTIFS($C$6:$C$305,$A238,$M$6:$M$305,"◧ Amber")&amp;" Amber")</f>
        <v/>
      </c>
      <c r="O238" s="29">
        <f>IF(OR($A238="",$E238=""),"",COUNTIFS($E$6:$E$305,$E238,$D$6:$D$305,"Active")+COUNTIFS($E$6:$E$305,$E238,$D$6:$D$305,"Paused"))</f>
        <v/>
      </c>
      <c r="P238" s="28">
        <f>IF($A238="","",IF($AE238=0,"○ Clear",IF($AA238=1,"△ No owner",IF($AC238=1,"△ Check Sits under",IF($AC238=2,"△ Outside the portfolio",IF($AB238=1,"△ No sponsor",IF($AH238=1,"△ Name used twice",IF($AG238=1,"△ Budget only counts under Portfolio","△ No variance note"))))))&amp;IF($AE238&gt;1," (+"&amp;($AE238-1)&amp;" more)","")))</f>
        <v/>
      </c>
      <c r="Q238" s="28">
        <f>IF(AND($A238&lt;&gt;"",OR($D238="Active",$D238="Paused")),1,0)</f>
        <v/>
      </c>
      <c r="R238" s="28">
        <f>IFERROR(INDEX($A$6:$A$305,MATCH(231,$S$6:$S$305,0)),"")</f>
        <v/>
      </c>
      <c r="S238" s="28">
        <f>IF(AND($A238&lt;&gt;"",$B238="Program"),COUNTIFS($B$6:$B238,"Program",$A$6:$A238,"&lt;&gt;"),"")</f>
        <v/>
      </c>
      <c r="T238" s="30">
        <f>IF(AND($A238&lt;&gt;"",$B238="Program"),SUMPRODUCT(MAX(($C$6:$C$305=$A238)*($B$6:$B$305="Project")*($D$6:$D$305&lt;&gt;"Proposed")*$I$6:$I$305)),0)</f>
        <v/>
      </c>
      <c r="U238" s="30">
        <f>IF($I238&lt;&gt;"",$I238,IF($T238&gt;0,$T238,""))</f>
        <v/>
      </c>
      <c r="V238" s="28">
        <f>IF(AND($A238&lt;&gt;"",$B238="Program"),SUMIFS($J$6:$J$305,$C$6:$C$305,$A238,$B$6:$B$305,"Project",$D$6:$D$305,"&lt;&gt;Proposed"),0)</f>
        <v/>
      </c>
      <c r="W238" s="28">
        <f>IF(AND($A238&lt;&gt;"",$B238="Program"),COUNTIFS($C$6:$C$305,$A238,$B$6:$B$305,"Project",$D$6:$D$305,"&lt;&gt;Proposed")-COUNTIFS($C$6:$C$305,$A238,$B$6:$B$305,"Project",$D$6:$D$305,"&lt;&gt;Proposed",$J$6:$J$305,"&gt;=0"),0)</f>
        <v/>
      </c>
      <c r="X238" s="28">
        <f>IF(OR($Q238=0,$H238="",$AF238="Sprint"),0,IF(AND($B238="Project",$H238&lt;TODAY()),3,IF($U238="",0,IF($U238&lt;=$H238,1,IF(NETWORKDAYS($H238,$U238)-1&gt;IF($B238="Program",Checks!$B$7,Checks!$B$6),3,2)))))</f>
        <v/>
      </c>
      <c r="Y238" s="28">
        <f>IF(OR($Q238=0,$K238="",$K238=0,$AF238="Sprint"),0,IF(AND($B238="Project",$J238=""),0,IF(IF($B238="Program",$V238,$J238)&gt;$K238*(1+Checks!$B$8),3,IF(IF($B238="Program",$V238,$J238)&gt;$K238,2,IF(AND($B238="Program",OR($W238&gt;0,$V238=0)),0,1)))))</f>
        <v/>
      </c>
      <c r="Z238" s="28">
        <f>IF($A238="",0,IF($C238="Portfolio",1,IF(AND($B238="Project",$C238&lt;&gt;"",$C238&lt;&gt;"Outside the portfolio"),IFERROR(IF(AND(INDEX($B$6:$B$305,MATCH($C238,$A$6:$A$305,0))="Program",INDEX($C$6:$C$305,MATCH($C238,$A$6:$A$305,0))="Portfolio"),1,0),0),0)))</f>
        <v/>
      </c>
      <c r="AA238" s="28">
        <f>IF(AND($A238&lt;&gt;"",$E238="",OR($Q238=1,$D238="Proposed")),1,0)</f>
        <v/>
      </c>
      <c r="AB238" s="28">
        <f>IF(AND($A238&lt;&gt;"",$B238="Program",$F238="",$Q238=1),1,0)</f>
        <v/>
      </c>
      <c r="AC238" s="28">
        <f>IF(OR($A238="",$D238="Completed",$D238="Terminated"),0,IF($C238="",1,IF($C238="Portfolio",0,IF($C238="Outside the portfolio",IF($Q238=1,2,0),IF($B238="Project",IF(IFERROR(INDEX($B$6:$B$305,MATCH($C238,$A$6:$A$305,0)),"")="Program",0,1),1)))))</f>
        <v/>
      </c>
      <c r="AD238" s="28">
        <f>IF(AND($A238&lt;&gt;"",OR($M238="■ Red",$M238="◧ Amber"),$L238=""),1,0)</f>
        <v/>
      </c>
      <c r="AE238" s="28">
        <f>$AA238+$AB238+IF($AC238&gt;0,1,0)+$AD238+$AG238+$AH238</f>
        <v/>
      </c>
      <c r="AF238" s="25" t="n"/>
      <c r="AG238" s="28">
        <f>IF(AND($A238&lt;&gt;"",$K238&lt;&gt;"",$C238&lt;&gt;"Portfolio",$D238&lt;&gt;"Completed",$D238&lt;&gt;"Terminated"),1,0)</f>
        <v/>
      </c>
      <c r="AH238" s="28">
        <f>IF(AND($A238&lt;&gt;"",COUNTIF($A$6:$A$305,$A238)&gt;1),1,0)</f>
        <v/>
      </c>
      <c r="AI238" s="28">
        <f>IF(AND($A238&lt;&gt;"",$C238="Portfolio"),COUNTIFS($C$6:$C238,"Portfolio",$A$6:$A238,"&lt;&gt;"),"")</f>
        <v/>
      </c>
    </row>
    <row r="239">
      <c r="A239" s="25" t="n"/>
      <c r="B239" s="25" t="n"/>
      <c r="C239" s="25" t="n"/>
      <c r="D239" s="25" t="n"/>
      <c r="E239" s="25" t="n"/>
      <c r="F239" s="25" t="n"/>
      <c r="G239" s="25" t="n"/>
      <c r="H239" s="26" t="n"/>
      <c r="I239" s="26" t="n"/>
      <c r="J239" s="27" t="n"/>
      <c r="K239" s="27" t="n"/>
      <c r="L239" s="23" t="n"/>
      <c r="M239" s="28">
        <f>IF($A239="","",IF($D239="","Not read",IF($Q239=0,"Not counted",IF(MAX($X239,$Y239)=3,"■ Red",IF(MAX($X239,$Y239)=2,"◧ Amber",IF(MAX($X239,$Y239)=1,"□ On track","Not read"))))))</f>
        <v/>
      </c>
      <c r="N239" s="28">
        <f>IF(OR($A239="",$B239&lt;&gt;"Program"),"","■ "&amp;COUNTIFS($C$6:$C$305,$A239,$M$6:$M$305,"■ Red")&amp;" Red, ◧ "&amp;COUNTIFS($C$6:$C$305,$A239,$M$6:$M$305,"◧ Amber")&amp;" Amber")</f>
        <v/>
      </c>
      <c r="O239" s="29">
        <f>IF(OR($A239="",$E239=""),"",COUNTIFS($E$6:$E$305,$E239,$D$6:$D$305,"Active")+COUNTIFS($E$6:$E$305,$E239,$D$6:$D$305,"Paused"))</f>
        <v/>
      </c>
      <c r="P239" s="28">
        <f>IF($A239="","",IF($AE239=0,"○ Clear",IF($AA239=1,"△ No owner",IF($AC239=1,"△ Check Sits under",IF($AC239=2,"△ Outside the portfolio",IF($AB239=1,"△ No sponsor",IF($AH239=1,"△ Name used twice",IF($AG239=1,"△ Budget only counts under Portfolio","△ No variance note"))))))&amp;IF($AE239&gt;1," (+"&amp;($AE239-1)&amp;" more)","")))</f>
        <v/>
      </c>
      <c r="Q239" s="28">
        <f>IF(AND($A239&lt;&gt;"",OR($D239="Active",$D239="Paused")),1,0)</f>
        <v/>
      </c>
      <c r="R239" s="28">
        <f>IFERROR(INDEX($A$6:$A$305,MATCH(232,$S$6:$S$305,0)),"")</f>
        <v/>
      </c>
      <c r="S239" s="28">
        <f>IF(AND($A239&lt;&gt;"",$B239="Program"),COUNTIFS($B$6:$B239,"Program",$A$6:$A239,"&lt;&gt;"),"")</f>
        <v/>
      </c>
      <c r="T239" s="30">
        <f>IF(AND($A239&lt;&gt;"",$B239="Program"),SUMPRODUCT(MAX(($C$6:$C$305=$A239)*($B$6:$B$305="Project")*($D$6:$D$305&lt;&gt;"Proposed")*$I$6:$I$305)),0)</f>
        <v/>
      </c>
      <c r="U239" s="30">
        <f>IF($I239&lt;&gt;"",$I239,IF($T239&gt;0,$T239,""))</f>
        <v/>
      </c>
      <c r="V239" s="28">
        <f>IF(AND($A239&lt;&gt;"",$B239="Program"),SUMIFS($J$6:$J$305,$C$6:$C$305,$A239,$B$6:$B$305,"Project",$D$6:$D$305,"&lt;&gt;Proposed"),0)</f>
        <v/>
      </c>
      <c r="W239" s="28">
        <f>IF(AND($A239&lt;&gt;"",$B239="Program"),COUNTIFS($C$6:$C$305,$A239,$B$6:$B$305,"Project",$D$6:$D$305,"&lt;&gt;Proposed")-COUNTIFS($C$6:$C$305,$A239,$B$6:$B$305,"Project",$D$6:$D$305,"&lt;&gt;Proposed",$J$6:$J$305,"&gt;=0"),0)</f>
        <v/>
      </c>
      <c r="X239" s="28">
        <f>IF(OR($Q239=0,$H239="",$AF239="Sprint"),0,IF(AND($B239="Project",$H239&lt;TODAY()),3,IF($U239="",0,IF($U239&lt;=$H239,1,IF(NETWORKDAYS($H239,$U239)-1&gt;IF($B239="Program",Checks!$B$7,Checks!$B$6),3,2)))))</f>
        <v/>
      </c>
      <c r="Y239" s="28">
        <f>IF(OR($Q239=0,$K239="",$K239=0,$AF239="Sprint"),0,IF(AND($B239="Project",$J239=""),0,IF(IF($B239="Program",$V239,$J239)&gt;$K239*(1+Checks!$B$8),3,IF(IF($B239="Program",$V239,$J239)&gt;$K239,2,IF(AND($B239="Program",OR($W239&gt;0,$V239=0)),0,1)))))</f>
        <v/>
      </c>
      <c r="Z239" s="28">
        <f>IF($A239="",0,IF($C239="Portfolio",1,IF(AND($B239="Project",$C239&lt;&gt;"",$C239&lt;&gt;"Outside the portfolio"),IFERROR(IF(AND(INDEX($B$6:$B$305,MATCH($C239,$A$6:$A$305,0))="Program",INDEX($C$6:$C$305,MATCH($C239,$A$6:$A$305,0))="Portfolio"),1,0),0),0)))</f>
        <v/>
      </c>
      <c r="AA239" s="28">
        <f>IF(AND($A239&lt;&gt;"",$E239="",OR($Q239=1,$D239="Proposed")),1,0)</f>
        <v/>
      </c>
      <c r="AB239" s="28">
        <f>IF(AND($A239&lt;&gt;"",$B239="Program",$F239="",$Q239=1),1,0)</f>
        <v/>
      </c>
      <c r="AC239" s="28">
        <f>IF(OR($A239="",$D239="Completed",$D239="Terminated"),0,IF($C239="",1,IF($C239="Portfolio",0,IF($C239="Outside the portfolio",IF($Q239=1,2,0),IF($B239="Project",IF(IFERROR(INDEX($B$6:$B$305,MATCH($C239,$A$6:$A$305,0)),"")="Program",0,1),1)))))</f>
        <v/>
      </c>
      <c r="AD239" s="28">
        <f>IF(AND($A239&lt;&gt;"",OR($M239="■ Red",$M239="◧ Amber"),$L239=""),1,0)</f>
        <v/>
      </c>
      <c r="AE239" s="28">
        <f>$AA239+$AB239+IF($AC239&gt;0,1,0)+$AD239+$AG239+$AH239</f>
        <v/>
      </c>
      <c r="AF239" s="25" t="n"/>
      <c r="AG239" s="28">
        <f>IF(AND($A239&lt;&gt;"",$K239&lt;&gt;"",$C239&lt;&gt;"Portfolio",$D239&lt;&gt;"Completed",$D239&lt;&gt;"Terminated"),1,0)</f>
        <v/>
      </c>
      <c r="AH239" s="28">
        <f>IF(AND($A239&lt;&gt;"",COUNTIF($A$6:$A$305,$A239)&gt;1),1,0)</f>
        <v/>
      </c>
      <c r="AI239" s="28">
        <f>IF(AND($A239&lt;&gt;"",$C239="Portfolio"),COUNTIFS($C$6:$C239,"Portfolio",$A$6:$A239,"&lt;&gt;"),"")</f>
        <v/>
      </c>
    </row>
    <row r="240">
      <c r="A240" s="25" t="n"/>
      <c r="B240" s="25" t="n"/>
      <c r="C240" s="25" t="n"/>
      <c r="D240" s="25" t="n"/>
      <c r="E240" s="25" t="n"/>
      <c r="F240" s="25" t="n"/>
      <c r="G240" s="25" t="n"/>
      <c r="H240" s="26" t="n"/>
      <c r="I240" s="26" t="n"/>
      <c r="J240" s="27" t="n"/>
      <c r="K240" s="27" t="n"/>
      <c r="L240" s="23" t="n"/>
      <c r="M240" s="28">
        <f>IF($A240="","",IF($D240="","Not read",IF($Q240=0,"Not counted",IF(MAX($X240,$Y240)=3,"■ Red",IF(MAX($X240,$Y240)=2,"◧ Amber",IF(MAX($X240,$Y240)=1,"□ On track","Not read"))))))</f>
        <v/>
      </c>
      <c r="N240" s="28">
        <f>IF(OR($A240="",$B240&lt;&gt;"Program"),"","■ "&amp;COUNTIFS($C$6:$C$305,$A240,$M$6:$M$305,"■ Red")&amp;" Red, ◧ "&amp;COUNTIFS($C$6:$C$305,$A240,$M$6:$M$305,"◧ Amber")&amp;" Amber")</f>
        <v/>
      </c>
      <c r="O240" s="29">
        <f>IF(OR($A240="",$E240=""),"",COUNTIFS($E$6:$E$305,$E240,$D$6:$D$305,"Active")+COUNTIFS($E$6:$E$305,$E240,$D$6:$D$305,"Paused"))</f>
        <v/>
      </c>
      <c r="P240" s="28">
        <f>IF($A240="","",IF($AE240=0,"○ Clear",IF($AA240=1,"△ No owner",IF($AC240=1,"△ Check Sits under",IF($AC240=2,"△ Outside the portfolio",IF($AB240=1,"△ No sponsor",IF($AH240=1,"△ Name used twice",IF($AG240=1,"△ Budget only counts under Portfolio","△ No variance note"))))))&amp;IF($AE240&gt;1," (+"&amp;($AE240-1)&amp;" more)","")))</f>
        <v/>
      </c>
      <c r="Q240" s="28">
        <f>IF(AND($A240&lt;&gt;"",OR($D240="Active",$D240="Paused")),1,0)</f>
        <v/>
      </c>
      <c r="R240" s="28">
        <f>IFERROR(INDEX($A$6:$A$305,MATCH(233,$S$6:$S$305,0)),"")</f>
        <v/>
      </c>
      <c r="S240" s="28">
        <f>IF(AND($A240&lt;&gt;"",$B240="Program"),COUNTIFS($B$6:$B240,"Program",$A$6:$A240,"&lt;&gt;"),"")</f>
        <v/>
      </c>
      <c r="T240" s="30">
        <f>IF(AND($A240&lt;&gt;"",$B240="Program"),SUMPRODUCT(MAX(($C$6:$C$305=$A240)*($B$6:$B$305="Project")*($D$6:$D$305&lt;&gt;"Proposed")*$I$6:$I$305)),0)</f>
        <v/>
      </c>
      <c r="U240" s="30">
        <f>IF($I240&lt;&gt;"",$I240,IF($T240&gt;0,$T240,""))</f>
        <v/>
      </c>
      <c r="V240" s="28">
        <f>IF(AND($A240&lt;&gt;"",$B240="Program"),SUMIFS($J$6:$J$305,$C$6:$C$305,$A240,$B$6:$B$305,"Project",$D$6:$D$305,"&lt;&gt;Proposed"),0)</f>
        <v/>
      </c>
      <c r="W240" s="28">
        <f>IF(AND($A240&lt;&gt;"",$B240="Program"),COUNTIFS($C$6:$C$305,$A240,$B$6:$B$305,"Project",$D$6:$D$305,"&lt;&gt;Proposed")-COUNTIFS($C$6:$C$305,$A240,$B$6:$B$305,"Project",$D$6:$D$305,"&lt;&gt;Proposed",$J$6:$J$305,"&gt;=0"),0)</f>
        <v/>
      </c>
      <c r="X240" s="28">
        <f>IF(OR($Q240=0,$H240="",$AF240="Sprint"),0,IF(AND($B240="Project",$H240&lt;TODAY()),3,IF($U240="",0,IF($U240&lt;=$H240,1,IF(NETWORKDAYS($H240,$U240)-1&gt;IF($B240="Program",Checks!$B$7,Checks!$B$6),3,2)))))</f>
        <v/>
      </c>
      <c r="Y240" s="28">
        <f>IF(OR($Q240=0,$K240="",$K240=0,$AF240="Sprint"),0,IF(AND($B240="Project",$J240=""),0,IF(IF($B240="Program",$V240,$J240)&gt;$K240*(1+Checks!$B$8),3,IF(IF($B240="Program",$V240,$J240)&gt;$K240,2,IF(AND($B240="Program",OR($W240&gt;0,$V240=0)),0,1)))))</f>
        <v/>
      </c>
      <c r="Z240" s="28">
        <f>IF($A240="",0,IF($C240="Portfolio",1,IF(AND($B240="Project",$C240&lt;&gt;"",$C240&lt;&gt;"Outside the portfolio"),IFERROR(IF(AND(INDEX($B$6:$B$305,MATCH($C240,$A$6:$A$305,0))="Program",INDEX($C$6:$C$305,MATCH($C240,$A$6:$A$305,0))="Portfolio"),1,0),0),0)))</f>
        <v/>
      </c>
      <c r="AA240" s="28">
        <f>IF(AND($A240&lt;&gt;"",$E240="",OR($Q240=1,$D240="Proposed")),1,0)</f>
        <v/>
      </c>
      <c r="AB240" s="28">
        <f>IF(AND($A240&lt;&gt;"",$B240="Program",$F240="",$Q240=1),1,0)</f>
        <v/>
      </c>
      <c r="AC240" s="28">
        <f>IF(OR($A240="",$D240="Completed",$D240="Terminated"),0,IF($C240="",1,IF($C240="Portfolio",0,IF($C240="Outside the portfolio",IF($Q240=1,2,0),IF($B240="Project",IF(IFERROR(INDEX($B$6:$B$305,MATCH($C240,$A$6:$A$305,0)),"")="Program",0,1),1)))))</f>
        <v/>
      </c>
      <c r="AD240" s="28">
        <f>IF(AND($A240&lt;&gt;"",OR($M240="■ Red",$M240="◧ Amber"),$L240=""),1,0)</f>
        <v/>
      </c>
      <c r="AE240" s="28">
        <f>$AA240+$AB240+IF($AC240&gt;0,1,0)+$AD240+$AG240+$AH240</f>
        <v/>
      </c>
      <c r="AF240" s="25" t="n"/>
      <c r="AG240" s="28">
        <f>IF(AND($A240&lt;&gt;"",$K240&lt;&gt;"",$C240&lt;&gt;"Portfolio",$D240&lt;&gt;"Completed",$D240&lt;&gt;"Terminated"),1,0)</f>
        <v/>
      </c>
      <c r="AH240" s="28">
        <f>IF(AND($A240&lt;&gt;"",COUNTIF($A$6:$A$305,$A240)&gt;1),1,0)</f>
        <v/>
      </c>
      <c r="AI240" s="28">
        <f>IF(AND($A240&lt;&gt;"",$C240="Portfolio"),COUNTIFS($C$6:$C240,"Portfolio",$A$6:$A240,"&lt;&gt;"),"")</f>
        <v/>
      </c>
    </row>
    <row r="241">
      <c r="A241" s="25" t="n"/>
      <c r="B241" s="25" t="n"/>
      <c r="C241" s="25" t="n"/>
      <c r="D241" s="25" t="n"/>
      <c r="E241" s="25" t="n"/>
      <c r="F241" s="25" t="n"/>
      <c r="G241" s="25" t="n"/>
      <c r="H241" s="26" t="n"/>
      <c r="I241" s="26" t="n"/>
      <c r="J241" s="27" t="n"/>
      <c r="K241" s="27" t="n"/>
      <c r="L241" s="23" t="n"/>
      <c r="M241" s="28">
        <f>IF($A241="","",IF($D241="","Not read",IF($Q241=0,"Not counted",IF(MAX($X241,$Y241)=3,"■ Red",IF(MAX($X241,$Y241)=2,"◧ Amber",IF(MAX($X241,$Y241)=1,"□ On track","Not read"))))))</f>
        <v/>
      </c>
      <c r="N241" s="28">
        <f>IF(OR($A241="",$B241&lt;&gt;"Program"),"","■ "&amp;COUNTIFS($C$6:$C$305,$A241,$M$6:$M$305,"■ Red")&amp;" Red, ◧ "&amp;COUNTIFS($C$6:$C$305,$A241,$M$6:$M$305,"◧ Amber")&amp;" Amber")</f>
        <v/>
      </c>
      <c r="O241" s="29">
        <f>IF(OR($A241="",$E241=""),"",COUNTIFS($E$6:$E$305,$E241,$D$6:$D$305,"Active")+COUNTIFS($E$6:$E$305,$E241,$D$6:$D$305,"Paused"))</f>
        <v/>
      </c>
      <c r="P241" s="28">
        <f>IF($A241="","",IF($AE241=0,"○ Clear",IF($AA241=1,"△ No owner",IF($AC241=1,"△ Check Sits under",IF($AC241=2,"△ Outside the portfolio",IF($AB241=1,"△ No sponsor",IF($AH241=1,"△ Name used twice",IF($AG241=1,"△ Budget only counts under Portfolio","△ No variance note"))))))&amp;IF($AE241&gt;1," (+"&amp;($AE241-1)&amp;" more)","")))</f>
        <v/>
      </c>
      <c r="Q241" s="28">
        <f>IF(AND($A241&lt;&gt;"",OR($D241="Active",$D241="Paused")),1,0)</f>
        <v/>
      </c>
      <c r="R241" s="28">
        <f>IFERROR(INDEX($A$6:$A$305,MATCH(234,$S$6:$S$305,0)),"")</f>
        <v/>
      </c>
      <c r="S241" s="28">
        <f>IF(AND($A241&lt;&gt;"",$B241="Program"),COUNTIFS($B$6:$B241,"Program",$A$6:$A241,"&lt;&gt;"),"")</f>
        <v/>
      </c>
      <c r="T241" s="30">
        <f>IF(AND($A241&lt;&gt;"",$B241="Program"),SUMPRODUCT(MAX(($C$6:$C$305=$A241)*($B$6:$B$305="Project")*($D$6:$D$305&lt;&gt;"Proposed")*$I$6:$I$305)),0)</f>
        <v/>
      </c>
      <c r="U241" s="30">
        <f>IF($I241&lt;&gt;"",$I241,IF($T241&gt;0,$T241,""))</f>
        <v/>
      </c>
      <c r="V241" s="28">
        <f>IF(AND($A241&lt;&gt;"",$B241="Program"),SUMIFS($J$6:$J$305,$C$6:$C$305,$A241,$B$6:$B$305,"Project",$D$6:$D$305,"&lt;&gt;Proposed"),0)</f>
        <v/>
      </c>
      <c r="W241" s="28">
        <f>IF(AND($A241&lt;&gt;"",$B241="Program"),COUNTIFS($C$6:$C$305,$A241,$B$6:$B$305,"Project",$D$6:$D$305,"&lt;&gt;Proposed")-COUNTIFS($C$6:$C$305,$A241,$B$6:$B$305,"Project",$D$6:$D$305,"&lt;&gt;Proposed",$J$6:$J$305,"&gt;=0"),0)</f>
        <v/>
      </c>
      <c r="X241" s="28">
        <f>IF(OR($Q241=0,$H241="",$AF241="Sprint"),0,IF(AND($B241="Project",$H241&lt;TODAY()),3,IF($U241="",0,IF($U241&lt;=$H241,1,IF(NETWORKDAYS($H241,$U241)-1&gt;IF($B241="Program",Checks!$B$7,Checks!$B$6),3,2)))))</f>
        <v/>
      </c>
      <c r="Y241" s="28">
        <f>IF(OR($Q241=0,$K241="",$K241=0,$AF241="Sprint"),0,IF(AND($B241="Project",$J241=""),0,IF(IF($B241="Program",$V241,$J241)&gt;$K241*(1+Checks!$B$8),3,IF(IF($B241="Program",$V241,$J241)&gt;$K241,2,IF(AND($B241="Program",OR($W241&gt;0,$V241=0)),0,1)))))</f>
        <v/>
      </c>
      <c r="Z241" s="28">
        <f>IF($A241="",0,IF($C241="Portfolio",1,IF(AND($B241="Project",$C241&lt;&gt;"",$C241&lt;&gt;"Outside the portfolio"),IFERROR(IF(AND(INDEX($B$6:$B$305,MATCH($C241,$A$6:$A$305,0))="Program",INDEX($C$6:$C$305,MATCH($C241,$A$6:$A$305,0))="Portfolio"),1,0),0),0)))</f>
        <v/>
      </c>
      <c r="AA241" s="28">
        <f>IF(AND($A241&lt;&gt;"",$E241="",OR($Q241=1,$D241="Proposed")),1,0)</f>
        <v/>
      </c>
      <c r="AB241" s="28">
        <f>IF(AND($A241&lt;&gt;"",$B241="Program",$F241="",$Q241=1),1,0)</f>
        <v/>
      </c>
      <c r="AC241" s="28">
        <f>IF(OR($A241="",$D241="Completed",$D241="Terminated"),0,IF($C241="",1,IF($C241="Portfolio",0,IF($C241="Outside the portfolio",IF($Q241=1,2,0),IF($B241="Project",IF(IFERROR(INDEX($B$6:$B$305,MATCH($C241,$A$6:$A$305,0)),"")="Program",0,1),1)))))</f>
        <v/>
      </c>
      <c r="AD241" s="28">
        <f>IF(AND($A241&lt;&gt;"",OR($M241="■ Red",$M241="◧ Amber"),$L241=""),1,0)</f>
        <v/>
      </c>
      <c r="AE241" s="28">
        <f>$AA241+$AB241+IF($AC241&gt;0,1,0)+$AD241+$AG241+$AH241</f>
        <v/>
      </c>
      <c r="AF241" s="25" t="n"/>
      <c r="AG241" s="28">
        <f>IF(AND($A241&lt;&gt;"",$K241&lt;&gt;"",$C241&lt;&gt;"Portfolio",$D241&lt;&gt;"Completed",$D241&lt;&gt;"Terminated"),1,0)</f>
        <v/>
      </c>
      <c r="AH241" s="28">
        <f>IF(AND($A241&lt;&gt;"",COUNTIF($A$6:$A$305,$A241)&gt;1),1,0)</f>
        <v/>
      </c>
      <c r="AI241" s="28">
        <f>IF(AND($A241&lt;&gt;"",$C241="Portfolio"),COUNTIFS($C$6:$C241,"Portfolio",$A$6:$A241,"&lt;&gt;"),"")</f>
        <v/>
      </c>
    </row>
    <row r="242">
      <c r="A242" s="25" t="n"/>
      <c r="B242" s="25" t="n"/>
      <c r="C242" s="25" t="n"/>
      <c r="D242" s="25" t="n"/>
      <c r="E242" s="25" t="n"/>
      <c r="F242" s="25" t="n"/>
      <c r="G242" s="25" t="n"/>
      <c r="H242" s="26" t="n"/>
      <c r="I242" s="26" t="n"/>
      <c r="J242" s="27" t="n"/>
      <c r="K242" s="27" t="n"/>
      <c r="L242" s="23" t="n"/>
      <c r="M242" s="28">
        <f>IF($A242="","",IF($D242="","Not read",IF($Q242=0,"Not counted",IF(MAX($X242,$Y242)=3,"■ Red",IF(MAX($X242,$Y242)=2,"◧ Amber",IF(MAX($X242,$Y242)=1,"□ On track","Not read"))))))</f>
        <v/>
      </c>
      <c r="N242" s="28">
        <f>IF(OR($A242="",$B242&lt;&gt;"Program"),"","■ "&amp;COUNTIFS($C$6:$C$305,$A242,$M$6:$M$305,"■ Red")&amp;" Red, ◧ "&amp;COUNTIFS($C$6:$C$305,$A242,$M$6:$M$305,"◧ Amber")&amp;" Amber")</f>
        <v/>
      </c>
      <c r="O242" s="29">
        <f>IF(OR($A242="",$E242=""),"",COUNTIFS($E$6:$E$305,$E242,$D$6:$D$305,"Active")+COUNTIFS($E$6:$E$305,$E242,$D$6:$D$305,"Paused"))</f>
        <v/>
      </c>
      <c r="P242" s="28">
        <f>IF($A242="","",IF($AE242=0,"○ Clear",IF($AA242=1,"△ No owner",IF($AC242=1,"△ Check Sits under",IF($AC242=2,"△ Outside the portfolio",IF($AB242=1,"△ No sponsor",IF($AH242=1,"△ Name used twice",IF($AG242=1,"△ Budget only counts under Portfolio","△ No variance note"))))))&amp;IF($AE242&gt;1," (+"&amp;($AE242-1)&amp;" more)","")))</f>
        <v/>
      </c>
      <c r="Q242" s="28">
        <f>IF(AND($A242&lt;&gt;"",OR($D242="Active",$D242="Paused")),1,0)</f>
        <v/>
      </c>
      <c r="R242" s="28">
        <f>IFERROR(INDEX($A$6:$A$305,MATCH(235,$S$6:$S$305,0)),"")</f>
        <v/>
      </c>
      <c r="S242" s="28">
        <f>IF(AND($A242&lt;&gt;"",$B242="Program"),COUNTIFS($B$6:$B242,"Program",$A$6:$A242,"&lt;&gt;"),"")</f>
        <v/>
      </c>
      <c r="T242" s="30">
        <f>IF(AND($A242&lt;&gt;"",$B242="Program"),SUMPRODUCT(MAX(($C$6:$C$305=$A242)*($B$6:$B$305="Project")*($D$6:$D$305&lt;&gt;"Proposed")*$I$6:$I$305)),0)</f>
        <v/>
      </c>
      <c r="U242" s="30">
        <f>IF($I242&lt;&gt;"",$I242,IF($T242&gt;0,$T242,""))</f>
        <v/>
      </c>
      <c r="V242" s="28">
        <f>IF(AND($A242&lt;&gt;"",$B242="Program"),SUMIFS($J$6:$J$305,$C$6:$C$305,$A242,$B$6:$B$305,"Project",$D$6:$D$305,"&lt;&gt;Proposed"),0)</f>
        <v/>
      </c>
      <c r="W242" s="28">
        <f>IF(AND($A242&lt;&gt;"",$B242="Program"),COUNTIFS($C$6:$C$305,$A242,$B$6:$B$305,"Project",$D$6:$D$305,"&lt;&gt;Proposed")-COUNTIFS($C$6:$C$305,$A242,$B$6:$B$305,"Project",$D$6:$D$305,"&lt;&gt;Proposed",$J$6:$J$305,"&gt;=0"),0)</f>
        <v/>
      </c>
      <c r="X242" s="28">
        <f>IF(OR($Q242=0,$H242="",$AF242="Sprint"),0,IF(AND($B242="Project",$H242&lt;TODAY()),3,IF($U242="",0,IF($U242&lt;=$H242,1,IF(NETWORKDAYS($H242,$U242)-1&gt;IF($B242="Program",Checks!$B$7,Checks!$B$6),3,2)))))</f>
        <v/>
      </c>
      <c r="Y242" s="28">
        <f>IF(OR($Q242=0,$K242="",$K242=0,$AF242="Sprint"),0,IF(AND($B242="Project",$J242=""),0,IF(IF($B242="Program",$V242,$J242)&gt;$K242*(1+Checks!$B$8),3,IF(IF($B242="Program",$V242,$J242)&gt;$K242,2,IF(AND($B242="Program",OR($W242&gt;0,$V242=0)),0,1)))))</f>
        <v/>
      </c>
      <c r="Z242" s="28">
        <f>IF($A242="",0,IF($C242="Portfolio",1,IF(AND($B242="Project",$C242&lt;&gt;"",$C242&lt;&gt;"Outside the portfolio"),IFERROR(IF(AND(INDEX($B$6:$B$305,MATCH($C242,$A$6:$A$305,0))="Program",INDEX($C$6:$C$305,MATCH($C242,$A$6:$A$305,0))="Portfolio"),1,0),0),0)))</f>
        <v/>
      </c>
      <c r="AA242" s="28">
        <f>IF(AND($A242&lt;&gt;"",$E242="",OR($Q242=1,$D242="Proposed")),1,0)</f>
        <v/>
      </c>
      <c r="AB242" s="28">
        <f>IF(AND($A242&lt;&gt;"",$B242="Program",$F242="",$Q242=1),1,0)</f>
        <v/>
      </c>
      <c r="AC242" s="28">
        <f>IF(OR($A242="",$D242="Completed",$D242="Terminated"),0,IF($C242="",1,IF($C242="Portfolio",0,IF($C242="Outside the portfolio",IF($Q242=1,2,0),IF($B242="Project",IF(IFERROR(INDEX($B$6:$B$305,MATCH($C242,$A$6:$A$305,0)),"")="Program",0,1),1)))))</f>
        <v/>
      </c>
      <c r="AD242" s="28">
        <f>IF(AND($A242&lt;&gt;"",OR($M242="■ Red",$M242="◧ Amber"),$L242=""),1,0)</f>
        <v/>
      </c>
      <c r="AE242" s="28">
        <f>$AA242+$AB242+IF($AC242&gt;0,1,0)+$AD242+$AG242+$AH242</f>
        <v/>
      </c>
      <c r="AF242" s="25" t="n"/>
      <c r="AG242" s="28">
        <f>IF(AND($A242&lt;&gt;"",$K242&lt;&gt;"",$C242&lt;&gt;"Portfolio",$D242&lt;&gt;"Completed",$D242&lt;&gt;"Terminated"),1,0)</f>
        <v/>
      </c>
      <c r="AH242" s="28">
        <f>IF(AND($A242&lt;&gt;"",COUNTIF($A$6:$A$305,$A242)&gt;1),1,0)</f>
        <v/>
      </c>
      <c r="AI242" s="28">
        <f>IF(AND($A242&lt;&gt;"",$C242="Portfolio"),COUNTIFS($C$6:$C242,"Portfolio",$A$6:$A242,"&lt;&gt;"),"")</f>
        <v/>
      </c>
    </row>
    <row r="243">
      <c r="A243" s="25" t="n"/>
      <c r="B243" s="25" t="n"/>
      <c r="C243" s="25" t="n"/>
      <c r="D243" s="25" t="n"/>
      <c r="E243" s="25" t="n"/>
      <c r="F243" s="25" t="n"/>
      <c r="G243" s="25" t="n"/>
      <c r="H243" s="26" t="n"/>
      <c r="I243" s="26" t="n"/>
      <c r="J243" s="27" t="n"/>
      <c r="K243" s="27" t="n"/>
      <c r="L243" s="23" t="n"/>
      <c r="M243" s="28">
        <f>IF($A243="","",IF($D243="","Not read",IF($Q243=0,"Not counted",IF(MAX($X243,$Y243)=3,"■ Red",IF(MAX($X243,$Y243)=2,"◧ Amber",IF(MAX($X243,$Y243)=1,"□ On track","Not read"))))))</f>
        <v/>
      </c>
      <c r="N243" s="28">
        <f>IF(OR($A243="",$B243&lt;&gt;"Program"),"","■ "&amp;COUNTIFS($C$6:$C$305,$A243,$M$6:$M$305,"■ Red")&amp;" Red, ◧ "&amp;COUNTIFS($C$6:$C$305,$A243,$M$6:$M$305,"◧ Amber")&amp;" Amber")</f>
        <v/>
      </c>
      <c r="O243" s="29">
        <f>IF(OR($A243="",$E243=""),"",COUNTIFS($E$6:$E$305,$E243,$D$6:$D$305,"Active")+COUNTIFS($E$6:$E$305,$E243,$D$6:$D$305,"Paused"))</f>
        <v/>
      </c>
      <c r="P243" s="28">
        <f>IF($A243="","",IF($AE243=0,"○ Clear",IF($AA243=1,"△ No owner",IF($AC243=1,"△ Check Sits under",IF($AC243=2,"△ Outside the portfolio",IF($AB243=1,"△ No sponsor",IF($AH243=1,"△ Name used twice",IF($AG243=1,"△ Budget only counts under Portfolio","△ No variance note"))))))&amp;IF($AE243&gt;1," (+"&amp;($AE243-1)&amp;" more)","")))</f>
        <v/>
      </c>
      <c r="Q243" s="28">
        <f>IF(AND($A243&lt;&gt;"",OR($D243="Active",$D243="Paused")),1,0)</f>
        <v/>
      </c>
      <c r="R243" s="28">
        <f>IFERROR(INDEX($A$6:$A$305,MATCH(236,$S$6:$S$305,0)),"")</f>
        <v/>
      </c>
      <c r="S243" s="28">
        <f>IF(AND($A243&lt;&gt;"",$B243="Program"),COUNTIFS($B$6:$B243,"Program",$A$6:$A243,"&lt;&gt;"),"")</f>
        <v/>
      </c>
      <c r="T243" s="30">
        <f>IF(AND($A243&lt;&gt;"",$B243="Program"),SUMPRODUCT(MAX(($C$6:$C$305=$A243)*($B$6:$B$305="Project")*($D$6:$D$305&lt;&gt;"Proposed")*$I$6:$I$305)),0)</f>
        <v/>
      </c>
      <c r="U243" s="30">
        <f>IF($I243&lt;&gt;"",$I243,IF($T243&gt;0,$T243,""))</f>
        <v/>
      </c>
      <c r="V243" s="28">
        <f>IF(AND($A243&lt;&gt;"",$B243="Program"),SUMIFS($J$6:$J$305,$C$6:$C$305,$A243,$B$6:$B$305,"Project",$D$6:$D$305,"&lt;&gt;Proposed"),0)</f>
        <v/>
      </c>
      <c r="W243" s="28">
        <f>IF(AND($A243&lt;&gt;"",$B243="Program"),COUNTIFS($C$6:$C$305,$A243,$B$6:$B$305,"Project",$D$6:$D$305,"&lt;&gt;Proposed")-COUNTIFS($C$6:$C$305,$A243,$B$6:$B$305,"Project",$D$6:$D$305,"&lt;&gt;Proposed",$J$6:$J$305,"&gt;=0"),0)</f>
        <v/>
      </c>
      <c r="X243" s="28">
        <f>IF(OR($Q243=0,$H243="",$AF243="Sprint"),0,IF(AND($B243="Project",$H243&lt;TODAY()),3,IF($U243="",0,IF($U243&lt;=$H243,1,IF(NETWORKDAYS($H243,$U243)-1&gt;IF($B243="Program",Checks!$B$7,Checks!$B$6),3,2)))))</f>
        <v/>
      </c>
      <c r="Y243" s="28">
        <f>IF(OR($Q243=0,$K243="",$K243=0,$AF243="Sprint"),0,IF(AND($B243="Project",$J243=""),0,IF(IF($B243="Program",$V243,$J243)&gt;$K243*(1+Checks!$B$8),3,IF(IF($B243="Program",$V243,$J243)&gt;$K243,2,IF(AND($B243="Program",OR($W243&gt;0,$V243=0)),0,1)))))</f>
        <v/>
      </c>
      <c r="Z243" s="28">
        <f>IF($A243="",0,IF($C243="Portfolio",1,IF(AND($B243="Project",$C243&lt;&gt;"",$C243&lt;&gt;"Outside the portfolio"),IFERROR(IF(AND(INDEX($B$6:$B$305,MATCH($C243,$A$6:$A$305,0))="Program",INDEX($C$6:$C$305,MATCH($C243,$A$6:$A$305,0))="Portfolio"),1,0),0),0)))</f>
        <v/>
      </c>
      <c r="AA243" s="28">
        <f>IF(AND($A243&lt;&gt;"",$E243="",OR($Q243=1,$D243="Proposed")),1,0)</f>
        <v/>
      </c>
      <c r="AB243" s="28">
        <f>IF(AND($A243&lt;&gt;"",$B243="Program",$F243="",$Q243=1),1,0)</f>
        <v/>
      </c>
      <c r="AC243" s="28">
        <f>IF(OR($A243="",$D243="Completed",$D243="Terminated"),0,IF($C243="",1,IF($C243="Portfolio",0,IF($C243="Outside the portfolio",IF($Q243=1,2,0),IF($B243="Project",IF(IFERROR(INDEX($B$6:$B$305,MATCH($C243,$A$6:$A$305,0)),"")="Program",0,1),1)))))</f>
        <v/>
      </c>
      <c r="AD243" s="28">
        <f>IF(AND($A243&lt;&gt;"",OR($M243="■ Red",$M243="◧ Amber"),$L243=""),1,0)</f>
        <v/>
      </c>
      <c r="AE243" s="28">
        <f>$AA243+$AB243+IF($AC243&gt;0,1,0)+$AD243+$AG243+$AH243</f>
        <v/>
      </c>
      <c r="AF243" s="25" t="n"/>
      <c r="AG243" s="28">
        <f>IF(AND($A243&lt;&gt;"",$K243&lt;&gt;"",$C243&lt;&gt;"Portfolio",$D243&lt;&gt;"Completed",$D243&lt;&gt;"Terminated"),1,0)</f>
        <v/>
      </c>
      <c r="AH243" s="28">
        <f>IF(AND($A243&lt;&gt;"",COUNTIF($A$6:$A$305,$A243)&gt;1),1,0)</f>
        <v/>
      </c>
      <c r="AI243" s="28">
        <f>IF(AND($A243&lt;&gt;"",$C243="Portfolio"),COUNTIFS($C$6:$C243,"Portfolio",$A$6:$A243,"&lt;&gt;"),"")</f>
        <v/>
      </c>
    </row>
    <row r="244">
      <c r="A244" s="25" t="n"/>
      <c r="B244" s="25" t="n"/>
      <c r="C244" s="25" t="n"/>
      <c r="D244" s="25" t="n"/>
      <c r="E244" s="25" t="n"/>
      <c r="F244" s="25" t="n"/>
      <c r="G244" s="25" t="n"/>
      <c r="H244" s="26" t="n"/>
      <c r="I244" s="26" t="n"/>
      <c r="J244" s="27" t="n"/>
      <c r="K244" s="27" t="n"/>
      <c r="L244" s="23" t="n"/>
      <c r="M244" s="28">
        <f>IF($A244="","",IF($D244="","Not read",IF($Q244=0,"Not counted",IF(MAX($X244,$Y244)=3,"■ Red",IF(MAX($X244,$Y244)=2,"◧ Amber",IF(MAX($X244,$Y244)=1,"□ On track","Not read"))))))</f>
        <v/>
      </c>
      <c r="N244" s="28">
        <f>IF(OR($A244="",$B244&lt;&gt;"Program"),"","■ "&amp;COUNTIFS($C$6:$C$305,$A244,$M$6:$M$305,"■ Red")&amp;" Red, ◧ "&amp;COUNTIFS($C$6:$C$305,$A244,$M$6:$M$305,"◧ Amber")&amp;" Amber")</f>
        <v/>
      </c>
      <c r="O244" s="29">
        <f>IF(OR($A244="",$E244=""),"",COUNTIFS($E$6:$E$305,$E244,$D$6:$D$305,"Active")+COUNTIFS($E$6:$E$305,$E244,$D$6:$D$305,"Paused"))</f>
        <v/>
      </c>
      <c r="P244" s="28">
        <f>IF($A244="","",IF($AE244=0,"○ Clear",IF($AA244=1,"△ No owner",IF($AC244=1,"△ Check Sits under",IF($AC244=2,"△ Outside the portfolio",IF($AB244=1,"△ No sponsor",IF($AH244=1,"△ Name used twice",IF($AG244=1,"△ Budget only counts under Portfolio","△ No variance note"))))))&amp;IF($AE244&gt;1," (+"&amp;($AE244-1)&amp;" more)","")))</f>
        <v/>
      </c>
      <c r="Q244" s="28">
        <f>IF(AND($A244&lt;&gt;"",OR($D244="Active",$D244="Paused")),1,0)</f>
        <v/>
      </c>
      <c r="R244" s="28">
        <f>IFERROR(INDEX($A$6:$A$305,MATCH(237,$S$6:$S$305,0)),"")</f>
        <v/>
      </c>
      <c r="S244" s="28">
        <f>IF(AND($A244&lt;&gt;"",$B244="Program"),COUNTIFS($B$6:$B244,"Program",$A$6:$A244,"&lt;&gt;"),"")</f>
        <v/>
      </c>
      <c r="T244" s="30">
        <f>IF(AND($A244&lt;&gt;"",$B244="Program"),SUMPRODUCT(MAX(($C$6:$C$305=$A244)*($B$6:$B$305="Project")*($D$6:$D$305&lt;&gt;"Proposed")*$I$6:$I$305)),0)</f>
        <v/>
      </c>
      <c r="U244" s="30">
        <f>IF($I244&lt;&gt;"",$I244,IF($T244&gt;0,$T244,""))</f>
        <v/>
      </c>
      <c r="V244" s="28">
        <f>IF(AND($A244&lt;&gt;"",$B244="Program"),SUMIFS($J$6:$J$305,$C$6:$C$305,$A244,$B$6:$B$305,"Project",$D$6:$D$305,"&lt;&gt;Proposed"),0)</f>
        <v/>
      </c>
      <c r="W244" s="28">
        <f>IF(AND($A244&lt;&gt;"",$B244="Program"),COUNTIFS($C$6:$C$305,$A244,$B$6:$B$305,"Project",$D$6:$D$305,"&lt;&gt;Proposed")-COUNTIFS($C$6:$C$305,$A244,$B$6:$B$305,"Project",$D$6:$D$305,"&lt;&gt;Proposed",$J$6:$J$305,"&gt;=0"),0)</f>
        <v/>
      </c>
      <c r="X244" s="28">
        <f>IF(OR($Q244=0,$H244="",$AF244="Sprint"),0,IF(AND($B244="Project",$H244&lt;TODAY()),3,IF($U244="",0,IF($U244&lt;=$H244,1,IF(NETWORKDAYS($H244,$U244)-1&gt;IF($B244="Program",Checks!$B$7,Checks!$B$6),3,2)))))</f>
        <v/>
      </c>
      <c r="Y244" s="28">
        <f>IF(OR($Q244=0,$K244="",$K244=0,$AF244="Sprint"),0,IF(AND($B244="Project",$J244=""),0,IF(IF($B244="Program",$V244,$J244)&gt;$K244*(1+Checks!$B$8),3,IF(IF($B244="Program",$V244,$J244)&gt;$K244,2,IF(AND($B244="Program",OR($W244&gt;0,$V244=0)),0,1)))))</f>
        <v/>
      </c>
      <c r="Z244" s="28">
        <f>IF($A244="",0,IF($C244="Portfolio",1,IF(AND($B244="Project",$C244&lt;&gt;"",$C244&lt;&gt;"Outside the portfolio"),IFERROR(IF(AND(INDEX($B$6:$B$305,MATCH($C244,$A$6:$A$305,0))="Program",INDEX($C$6:$C$305,MATCH($C244,$A$6:$A$305,0))="Portfolio"),1,0),0),0)))</f>
        <v/>
      </c>
      <c r="AA244" s="28">
        <f>IF(AND($A244&lt;&gt;"",$E244="",OR($Q244=1,$D244="Proposed")),1,0)</f>
        <v/>
      </c>
      <c r="AB244" s="28">
        <f>IF(AND($A244&lt;&gt;"",$B244="Program",$F244="",$Q244=1),1,0)</f>
        <v/>
      </c>
      <c r="AC244" s="28">
        <f>IF(OR($A244="",$D244="Completed",$D244="Terminated"),0,IF($C244="",1,IF($C244="Portfolio",0,IF($C244="Outside the portfolio",IF($Q244=1,2,0),IF($B244="Project",IF(IFERROR(INDEX($B$6:$B$305,MATCH($C244,$A$6:$A$305,0)),"")="Program",0,1),1)))))</f>
        <v/>
      </c>
      <c r="AD244" s="28">
        <f>IF(AND($A244&lt;&gt;"",OR($M244="■ Red",$M244="◧ Amber"),$L244=""),1,0)</f>
        <v/>
      </c>
      <c r="AE244" s="28">
        <f>$AA244+$AB244+IF($AC244&gt;0,1,0)+$AD244+$AG244+$AH244</f>
        <v/>
      </c>
      <c r="AF244" s="25" t="n"/>
      <c r="AG244" s="28">
        <f>IF(AND($A244&lt;&gt;"",$K244&lt;&gt;"",$C244&lt;&gt;"Portfolio",$D244&lt;&gt;"Completed",$D244&lt;&gt;"Terminated"),1,0)</f>
        <v/>
      </c>
      <c r="AH244" s="28">
        <f>IF(AND($A244&lt;&gt;"",COUNTIF($A$6:$A$305,$A244)&gt;1),1,0)</f>
        <v/>
      </c>
      <c r="AI244" s="28">
        <f>IF(AND($A244&lt;&gt;"",$C244="Portfolio"),COUNTIFS($C$6:$C244,"Portfolio",$A$6:$A244,"&lt;&gt;"),"")</f>
        <v/>
      </c>
    </row>
    <row r="245">
      <c r="A245" s="25" t="n"/>
      <c r="B245" s="25" t="n"/>
      <c r="C245" s="25" t="n"/>
      <c r="D245" s="25" t="n"/>
      <c r="E245" s="25" t="n"/>
      <c r="F245" s="25" t="n"/>
      <c r="G245" s="25" t="n"/>
      <c r="H245" s="26" t="n"/>
      <c r="I245" s="26" t="n"/>
      <c r="J245" s="27" t="n"/>
      <c r="K245" s="27" t="n"/>
      <c r="L245" s="23" t="n"/>
      <c r="M245" s="28">
        <f>IF($A245="","",IF($D245="","Not read",IF($Q245=0,"Not counted",IF(MAX($X245,$Y245)=3,"■ Red",IF(MAX($X245,$Y245)=2,"◧ Amber",IF(MAX($X245,$Y245)=1,"□ On track","Not read"))))))</f>
        <v/>
      </c>
      <c r="N245" s="28">
        <f>IF(OR($A245="",$B245&lt;&gt;"Program"),"","■ "&amp;COUNTIFS($C$6:$C$305,$A245,$M$6:$M$305,"■ Red")&amp;" Red, ◧ "&amp;COUNTIFS($C$6:$C$305,$A245,$M$6:$M$305,"◧ Amber")&amp;" Amber")</f>
        <v/>
      </c>
      <c r="O245" s="29">
        <f>IF(OR($A245="",$E245=""),"",COUNTIFS($E$6:$E$305,$E245,$D$6:$D$305,"Active")+COUNTIFS($E$6:$E$305,$E245,$D$6:$D$305,"Paused"))</f>
        <v/>
      </c>
      <c r="P245" s="28">
        <f>IF($A245="","",IF($AE245=0,"○ Clear",IF($AA245=1,"△ No owner",IF($AC245=1,"△ Check Sits under",IF($AC245=2,"△ Outside the portfolio",IF($AB245=1,"△ No sponsor",IF($AH245=1,"△ Name used twice",IF($AG245=1,"△ Budget only counts under Portfolio","△ No variance note"))))))&amp;IF($AE245&gt;1," (+"&amp;($AE245-1)&amp;" more)","")))</f>
        <v/>
      </c>
      <c r="Q245" s="28">
        <f>IF(AND($A245&lt;&gt;"",OR($D245="Active",$D245="Paused")),1,0)</f>
        <v/>
      </c>
      <c r="R245" s="28">
        <f>IFERROR(INDEX($A$6:$A$305,MATCH(238,$S$6:$S$305,0)),"")</f>
        <v/>
      </c>
      <c r="S245" s="28">
        <f>IF(AND($A245&lt;&gt;"",$B245="Program"),COUNTIFS($B$6:$B245,"Program",$A$6:$A245,"&lt;&gt;"),"")</f>
        <v/>
      </c>
      <c r="T245" s="30">
        <f>IF(AND($A245&lt;&gt;"",$B245="Program"),SUMPRODUCT(MAX(($C$6:$C$305=$A245)*($B$6:$B$305="Project")*($D$6:$D$305&lt;&gt;"Proposed")*$I$6:$I$305)),0)</f>
        <v/>
      </c>
      <c r="U245" s="30">
        <f>IF($I245&lt;&gt;"",$I245,IF($T245&gt;0,$T245,""))</f>
        <v/>
      </c>
      <c r="V245" s="28">
        <f>IF(AND($A245&lt;&gt;"",$B245="Program"),SUMIFS($J$6:$J$305,$C$6:$C$305,$A245,$B$6:$B$305,"Project",$D$6:$D$305,"&lt;&gt;Proposed"),0)</f>
        <v/>
      </c>
      <c r="W245" s="28">
        <f>IF(AND($A245&lt;&gt;"",$B245="Program"),COUNTIFS($C$6:$C$305,$A245,$B$6:$B$305,"Project",$D$6:$D$305,"&lt;&gt;Proposed")-COUNTIFS($C$6:$C$305,$A245,$B$6:$B$305,"Project",$D$6:$D$305,"&lt;&gt;Proposed",$J$6:$J$305,"&gt;=0"),0)</f>
        <v/>
      </c>
      <c r="X245" s="28">
        <f>IF(OR($Q245=0,$H245="",$AF245="Sprint"),0,IF(AND($B245="Project",$H245&lt;TODAY()),3,IF($U245="",0,IF($U245&lt;=$H245,1,IF(NETWORKDAYS($H245,$U245)-1&gt;IF($B245="Program",Checks!$B$7,Checks!$B$6),3,2)))))</f>
        <v/>
      </c>
      <c r="Y245" s="28">
        <f>IF(OR($Q245=0,$K245="",$K245=0,$AF245="Sprint"),0,IF(AND($B245="Project",$J245=""),0,IF(IF($B245="Program",$V245,$J245)&gt;$K245*(1+Checks!$B$8),3,IF(IF($B245="Program",$V245,$J245)&gt;$K245,2,IF(AND($B245="Program",OR($W245&gt;0,$V245=0)),0,1)))))</f>
        <v/>
      </c>
      <c r="Z245" s="28">
        <f>IF($A245="",0,IF($C245="Portfolio",1,IF(AND($B245="Project",$C245&lt;&gt;"",$C245&lt;&gt;"Outside the portfolio"),IFERROR(IF(AND(INDEX($B$6:$B$305,MATCH($C245,$A$6:$A$305,0))="Program",INDEX($C$6:$C$305,MATCH($C245,$A$6:$A$305,0))="Portfolio"),1,0),0),0)))</f>
        <v/>
      </c>
      <c r="AA245" s="28">
        <f>IF(AND($A245&lt;&gt;"",$E245="",OR($Q245=1,$D245="Proposed")),1,0)</f>
        <v/>
      </c>
      <c r="AB245" s="28">
        <f>IF(AND($A245&lt;&gt;"",$B245="Program",$F245="",$Q245=1),1,0)</f>
        <v/>
      </c>
      <c r="AC245" s="28">
        <f>IF(OR($A245="",$D245="Completed",$D245="Terminated"),0,IF($C245="",1,IF($C245="Portfolio",0,IF($C245="Outside the portfolio",IF($Q245=1,2,0),IF($B245="Project",IF(IFERROR(INDEX($B$6:$B$305,MATCH($C245,$A$6:$A$305,0)),"")="Program",0,1),1)))))</f>
        <v/>
      </c>
      <c r="AD245" s="28">
        <f>IF(AND($A245&lt;&gt;"",OR($M245="■ Red",$M245="◧ Amber"),$L245=""),1,0)</f>
        <v/>
      </c>
      <c r="AE245" s="28">
        <f>$AA245+$AB245+IF($AC245&gt;0,1,0)+$AD245+$AG245+$AH245</f>
        <v/>
      </c>
      <c r="AF245" s="25" t="n"/>
      <c r="AG245" s="28">
        <f>IF(AND($A245&lt;&gt;"",$K245&lt;&gt;"",$C245&lt;&gt;"Portfolio",$D245&lt;&gt;"Completed",$D245&lt;&gt;"Terminated"),1,0)</f>
        <v/>
      </c>
      <c r="AH245" s="28">
        <f>IF(AND($A245&lt;&gt;"",COUNTIF($A$6:$A$305,$A245)&gt;1),1,0)</f>
        <v/>
      </c>
      <c r="AI245" s="28">
        <f>IF(AND($A245&lt;&gt;"",$C245="Portfolio"),COUNTIFS($C$6:$C245,"Portfolio",$A$6:$A245,"&lt;&gt;"),"")</f>
        <v/>
      </c>
    </row>
    <row r="246">
      <c r="A246" s="25" t="n"/>
      <c r="B246" s="25" t="n"/>
      <c r="C246" s="25" t="n"/>
      <c r="D246" s="25" t="n"/>
      <c r="E246" s="25" t="n"/>
      <c r="F246" s="25" t="n"/>
      <c r="G246" s="25" t="n"/>
      <c r="H246" s="26" t="n"/>
      <c r="I246" s="26" t="n"/>
      <c r="J246" s="27" t="n"/>
      <c r="K246" s="27" t="n"/>
      <c r="L246" s="23" t="n"/>
      <c r="M246" s="28">
        <f>IF($A246="","",IF($D246="","Not read",IF($Q246=0,"Not counted",IF(MAX($X246,$Y246)=3,"■ Red",IF(MAX($X246,$Y246)=2,"◧ Amber",IF(MAX($X246,$Y246)=1,"□ On track","Not read"))))))</f>
        <v/>
      </c>
      <c r="N246" s="28">
        <f>IF(OR($A246="",$B246&lt;&gt;"Program"),"","■ "&amp;COUNTIFS($C$6:$C$305,$A246,$M$6:$M$305,"■ Red")&amp;" Red, ◧ "&amp;COUNTIFS($C$6:$C$305,$A246,$M$6:$M$305,"◧ Amber")&amp;" Amber")</f>
        <v/>
      </c>
      <c r="O246" s="29">
        <f>IF(OR($A246="",$E246=""),"",COUNTIFS($E$6:$E$305,$E246,$D$6:$D$305,"Active")+COUNTIFS($E$6:$E$305,$E246,$D$6:$D$305,"Paused"))</f>
        <v/>
      </c>
      <c r="P246" s="28">
        <f>IF($A246="","",IF($AE246=0,"○ Clear",IF($AA246=1,"△ No owner",IF($AC246=1,"△ Check Sits under",IF($AC246=2,"△ Outside the portfolio",IF($AB246=1,"△ No sponsor",IF($AH246=1,"△ Name used twice",IF($AG246=1,"△ Budget only counts under Portfolio","△ No variance note"))))))&amp;IF($AE246&gt;1," (+"&amp;($AE246-1)&amp;" more)","")))</f>
        <v/>
      </c>
      <c r="Q246" s="28">
        <f>IF(AND($A246&lt;&gt;"",OR($D246="Active",$D246="Paused")),1,0)</f>
        <v/>
      </c>
      <c r="R246" s="28">
        <f>IFERROR(INDEX($A$6:$A$305,MATCH(239,$S$6:$S$305,0)),"")</f>
        <v/>
      </c>
      <c r="S246" s="28">
        <f>IF(AND($A246&lt;&gt;"",$B246="Program"),COUNTIFS($B$6:$B246,"Program",$A$6:$A246,"&lt;&gt;"),"")</f>
        <v/>
      </c>
      <c r="T246" s="30">
        <f>IF(AND($A246&lt;&gt;"",$B246="Program"),SUMPRODUCT(MAX(($C$6:$C$305=$A246)*($B$6:$B$305="Project")*($D$6:$D$305&lt;&gt;"Proposed")*$I$6:$I$305)),0)</f>
        <v/>
      </c>
      <c r="U246" s="30">
        <f>IF($I246&lt;&gt;"",$I246,IF($T246&gt;0,$T246,""))</f>
        <v/>
      </c>
      <c r="V246" s="28">
        <f>IF(AND($A246&lt;&gt;"",$B246="Program"),SUMIFS($J$6:$J$305,$C$6:$C$305,$A246,$B$6:$B$305,"Project",$D$6:$D$305,"&lt;&gt;Proposed"),0)</f>
        <v/>
      </c>
      <c r="W246" s="28">
        <f>IF(AND($A246&lt;&gt;"",$B246="Program"),COUNTIFS($C$6:$C$305,$A246,$B$6:$B$305,"Project",$D$6:$D$305,"&lt;&gt;Proposed")-COUNTIFS($C$6:$C$305,$A246,$B$6:$B$305,"Project",$D$6:$D$305,"&lt;&gt;Proposed",$J$6:$J$305,"&gt;=0"),0)</f>
        <v/>
      </c>
      <c r="X246" s="28">
        <f>IF(OR($Q246=0,$H246="",$AF246="Sprint"),0,IF(AND($B246="Project",$H246&lt;TODAY()),3,IF($U246="",0,IF($U246&lt;=$H246,1,IF(NETWORKDAYS($H246,$U246)-1&gt;IF($B246="Program",Checks!$B$7,Checks!$B$6),3,2)))))</f>
        <v/>
      </c>
      <c r="Y246" s="28">
        <f>IF(OR($Q246=0,$K246="",$K246=0,$AF246="Sprint"),0,IF(AND($B246="Project",$J246=""),0,IF(IF($B246="Program",$V246,$J246)&gt;$K246*(1+Checks!$B$8),3,IF(IF($B246="Program",$V246,$J246)&gt;$K246,2,IF(AND($B246="Program",OR($W246&gt;0,$V246=0)),0,1)))))</f>
        <v/>
      </c>
      <c r="Z246" s="28">
        <f>IF($A246="",0,IF($C246="Portfolio",1,IF(AND($B246="Project",$C246&lt;&gt;"",$C246&lt;&gt;"Outside the portfolio"),IFERROR(IF(AND(INDEX($B$6:$B$305,MATCH($C246,$A$6:$A$305,0))="Program",INDEX($C$6:$C$305,MATCH($C246,$A$6:$A$305,0))="Portfolio"),1,0),0),0)))</f>
        <v/>
      </c>
      <c r="AA246" s="28">
        <f>IF(AND($A246&lt;&gt;"",$E246="",OR($Q246=1,$D246="Proposed")),1,0)</f>
        <v/>
      </c>
      <c r="AB246" s="28">
        <f>IF(AND($A246&lt;&gt;"",$B246="Program",$F246="",$Q246=1),1,0)</f>
        <v/>
      </c>
      <c r="AC246" s="28">
        <f>IF(OR($A246="",$D246="Completed",$D246="Terminated"),0,IF($C246="",1,IF($C246="Portfolio",0,IF($C246="Outside the portfolio",IF($Q246=1,2,0),IF($B246="Project",IF(IFERROR(INDEX($B$6:$B$305,MATCH($C246,$A$6:$A$305,0)),"")="Program",0,1),1)))))</f>
        <v/>
      </c>
      <c r="AD246" s="28">
        <f>IF(AND($A246&lt;&gt;"",OR($M246="■ Red",$M246="◧ Amber"),$L246=""),1,0)</f>
        <v/>
      </c>
      <c r="AE246" s="28">
        <f>$AA246+$AB246+IF($AC246&gt;0,1,0)+$AD246+$AG246+$AH246</f>
        <v/>
      </c>
      <c r="AF246" s="25" t="n"/>
      <c r="AG246" s="28">
        <f>IF(AND($A246&lt;&gt;"",$K246&lt;&gt;"",$C246&lt;&gt;"Portfolio",$D246&lt;&gt;"Completed",$D246&lt;&gt;"Terminated"),1,0)</f>
        <v/>
      </c>
      <c r="AH246" s="28">
        <f>IF(AND($A246&lt;&gt;"",COUNTIF($A$6:$A$305,$A246)&gt;1),1,0)</f>
        <v/>
      </c>
      <c r="AI246" s="28">
        <f>IF(AND($A246&lt;&gt;"",$C246="Portfolio"),COUNTIFS($C$6:$C246,"Portfolio",$A$6:$A246,"&lt;&gt;"),"")</f>
        <v/>
      </c>
    </row>
    <row r="247">
      <c r="A247" s="25" t="n"/>
      <c r="B247" s="25" t="n"/>
      <c r="C247" s="25" t="n"/>
      <c r="D247" s="25" t="n"/>
      <c r="E247" s="25" t="n"/>
      <c r="F247" s="25" t="n"/>
      <c r="G247" s="25" t="n"/>
      <c r="H247" s="26" t="n"/>
      <c r="I247" s="26" t="n"/>
      <c r="J247" s="27" t="n"/>
      <c r="K247" s="27" t="n"/>
      <c r="L247" s="23" t="n"/>
      <c r="M247" s="28">
        <f>IF($A247="","",IF($D247="","Not read",IF($Q247=0,"Not counted",IF(MAX($X247,$Y247)=3,"■ Red",IF(MAX($X247,$Y247)=2,"◧ Amber",IF(MAX($X247,$Y247)=1,"□ On track","Not read"))))))</f>
        <v/>
      </c>
      <c r="N247" s="28">
        <f>IF(OR($A247="",$B247&lt;&gt;"Program"),"","■ "&amp;COUNTIFS($C$6:$C$305,$A247,$M$6:$M$305,"■ Red")&amp;" Red, ◧ "&amp;COUNTIFS($C$6:$C$305,$A247,$M$6:$M$305,"◧ Amber")&amp;" Amber")</f>
        <v/>
      </c>
      <c r="O247" s="29">
        <f>IF(OR($A247="",$E247=""),"",COUNTIFS($E$6:$E$305,$E247,$D$6:$D$305,"Active")+COUNTIFS($E$6:$E$305,$E247,$D$6:$D$305,"Paused"))</f>
        <v/>
      </c>
      <c r="P247" s="28">
        <f>IF($A247="","",IF($AE247=0,"○ Clear",IF($AA247=1,"△ No owner",IF($AC247=1,"△ Check Sits under",IF($AC247=2,"△ Outside the portfolio",IF($AB247=1,"△ No sponsor",IF($AH247=1,"△ Name used twice",IF($AG247=1,"△ Budget only counts under Portfolio","△ No variance note"))))))&amp;IF($AE247&gt;1," (+"&amp;($AE247-1)&amp;" more)","")))</f>
        <v/>
      </c>
      <c r="Q247" s="28">
        <f>IF(AND($A247&lt;&gt;"",OR($D247="Active",$D247="Paused")),1,0)</f>
        <v/>
      </c>
      <c r="R247" s="28">
        <f>IFERROR(INDEX($A$6:$A$305,MATCH(240,$S$6:$S$305,0)),"")</f>
        <v/>
      </c>
      <c r="S247" s="28">
        <f>IF(AND($A247&lt;&gt;"",$B247="Program"),COUNTIFS($B$6:$B247,"Program",$A$6:$A247,"&lt;&gt;"),"")</f>
        <v/>
      </c>
      <c r="T247" s="30">
        <f>IF(AND($A247&lt;&gt;"",$B247="Program"),SUMPRODUCT(MAX(($C$6:$C$305=$A247)*($B$6:$B$305="Project")*($D$6:$D$305&lt;&gt;"Proposed")*$I$6:$I$305)),0)</f>
        <v/>
      </c>
      <c r="U247" s="30">
        <f>IF($I247&lt;&gt;"",$I247,IF($T247&gt;0,$T247,""))</f>
        <v/>
      </c>
      <c r="V247" s="28">
        <f>IF(AND($A247&lt;&gt;"",$B247="Program"),SUMIFS($J$6:$J$305,$C$6:$C$305,$A247,$B$6:$B$305,"Project",$D$6:$D$305,"&lt;&gt;Proposed"),0)</f>
        <v/>
      </c>
      <c r="W247" s="28">
        <f>IF(AND($A247&lt;&gt;"",$B247="Program"),COUNTIFS($C$6:$C$305,$A247,$B$6:$B$305,"Project",$D$6:$D$305,"&lt;&gt;Proposed")-COUNTIFS($C$6:$C$305,$A247,$B$6:$B$305,"Project",$D$6:$D$305,"&lt;&gt;Proposed",$J$6:$J$305,"&gt;=0"),0)</f>
        <v/>
      </c>
      <c r="X247" s="28">
        <f>IF(OR($Q247=0,$H247="",$AF247="Sprint"),0,IF(AND($B247="Project",$H247&lt;TODAY()),3,IF($U247="",0,IF($U247&lt;=$H247,1,IF(NETWORKDAYS($H247,$U247)-1&gt;IF($B247="Program",Checks!$B$7,Checks!$B$6),3,2)))))</f>
        <v/>
      </c>
      <c r="Y247" s="28">
        <f>IF(OR($Q247=0,$K247="",$K247=0,$AF247="Sprint"),0,IF(AND($B247="Project",$J247=""),0,IF(IF($B247="Program",$V247,$J247)&gt;$K247*(1+Checks!$B$8),3,IF(IF($B247="Program",$V247,$J247)&gt;$K247,2,IF(AND($B247="Program",OR($W247&gt;0,$V247=0)),0,1)))))</f>
        <v/>
      </c>
      <c r="Z247" s="28">
        <f>IF($A247="",0,IF($C247="Portfolio",1,IF(AND($B247="Project",$C247&lt;&gt;"",$C247&lt;&gt;"Outside the portfolio"),IFERROR(IF(AND(INDEX($B$6:$B$305,MATCH($C247,$A$6:$A$305,0))="Program",INDEX($C$6:$C$305,MATCH($C247,$A$6:$A$305,0))="Portfolio"),1,0),0),0)))</f>
        <v/>
      </c>
      <c r="AA247" s="28">
        <f>IF(AND($A247&lt;&gt;"",$E247="",OR($Q247=1,$D247="Proposed")),1,0)</f>
        <v/>
      </c>
      <c r="AB247" s="28">
        <f>IF(AND($A247&lt;&gt;"",$B247="Program",$F247="",$Q247=1),1,0)</f>
        <v/>
      </c>
      <c r="AC247" s="28">
        <f>IF(OR($A247="",$D247="Completed",$D247="Terminated"),0,IF($C247="",1,IF($C247="Portfolio",0,IF($C247="Outside the portfolio",IF($Q247=1,2,0),IF($B247="Project",IF(IFERROR(INDEX($B$6:$B$305,MATCH($C247,$A$6:$A$305,0)),"")="Program",0,1),1)))))</f>
        <v/>
      </c>
      <c r="AD247" s="28">
        <f>IF(AND($A247&lt;&gt;"",OR($M247="■ Red",$M247="◧ Amber"),$L247=""),1,0)</f>
        <v/>
      </c>
      <c r="AE247" s="28">
        <f>$AA247+$AB247+IF($AC247&gt;0,1,0)+$AD247+$AG247+$AH247</f>
        <v/>
      </c>
      <c r="AF247" s="25" t="n"/>
      <c r="AG247" s="28">
        <f>IF(AND($A247&lt;&gt;"",$K247&lt;&gt;"",$C247&lt;&gt;"Portfolio",$D247&lt;&gt;"Completed",$D247&lt;&gt;"Terminated"),1,0)</f>
        <v/>
      </c>
      <c r="AH247" s="28">
        <f>IF(AND($A247&lt;&gt;"",COUNTIF($A$6:$A$305,$A247)&gt;1),1,0)</f>
        <v/>
      </c>
      <c r="AI247" s="28">
        <f>IF(AND($A247&lt;&gt;"",$C247="Portfolio"),COUNTIFS($C$6:$C247,"Portfolio",$A$6:$A247,"&lt;&gt;"),"")</f>
        <v/>
      </c>
    </row>
    <row r="248">
      <c r="A248" s="25" t="n"/>
      <c r="B248" s="25" t="n"/>
      <c r="C248" s="25" t="n"/>
      <c r="D248" s="25" t="n"/>
      <c r="E248" s="25" t="n"/>
      <c r="F248" s="25" t="n"/>
      <c r="G248" s="25" t="n"/>
      <c r="H248" s="26" t="n"/>
      <c r="I248" s="26" t="n"/>
      <c r="J248" s="27" t="n"/>
      <c r="K248" s="27" t="n"/>
      <c r="L248" s="23" t="n"/>
      <c r="M248" s="28">
        <f>IF($A248="","",IF($D248="","Not read",IF($Q248=0,"Not counted",IF(MAX($X248,$Y248)=3,"■ Red",IF(MAX($X248,$Y248)=2,"◧ Amber",IF(MAX($X248,$Y248)=1,"□ On track","Not read"))))))</f>
        <v/>
      </c>
      <c r="N248" s="28">
        <f>IF(OR($A248="",$B248&lt;&gt;"Program"),"","■ "&amp;COUNTIFS($C$6:$C$305,$A248,$M$6:$M$305,"■ Red")&amp;" Red, ◧ "&amp;COUNTIFS($C$6:$C$305,$A248,$M$6:$M$305,"◧ Amber")&amp;" Amber")</f>
        <v/>
      </c>
      <c r="O248" s="29">
        <f>IF(OR($A248="",$E248=""),"",COUNTIFS($E$6:$E$305,$E248,$D$6:$D$305,"Active")+COUNTIFS($E$6:$E$305,$E248,$D$6:$D$305,"Paused"))</f>
        <v/>
      </c>
      <c r="P248" s="28">
        <f>IF($A248="","",IF($AE248=0,"○ Clear",IF($AA248=1,"△ No owner",IF($AC248=1,"△ Check Sits under",IF($AC248=2,"△ Outside the portfolio",IF($AB248=1,"△ No sponsor",IF($AH248=1,"△ Name used twice",IF($AG248=1,"△ Budget only counts under Portfolio","△ No variance note"))))))&amp;IF($AE248&gt;1," (+"&amp;($AE248-1)&amp;" more)","")))</f>
        <v/>
      </c>
      <c r="Q248" s="28">
        <f>IF(AND($A248&lt;&gt;"",OR($D248="Active",$D248="Paused")),1,0)</f>
        <v/>
      </c>
      <c r="R248" s="28">
        <f>IFERROR(INDEX($A$6:$A$305,MATCH(241,$S$6:$S$305,0)),"")</f>
        <v/>
      </c>
      <c r="S248" s="28">
        <f>IF(AND($A248&lt;&gt;"",$B248="Program"),COUNTIFS($B$6:$B248,"Program",$A$6:$A248,"&lt;&gt;"),"")</f>
        <v/>
      </c>
      <c r="T248" s="30">
        <f>IF(AND($A248&lt;&gt;"",$B248="Program"),SUMPRODUCT(MAX(($C$6:$C$305=$A248)*($B$6:$B$305="Project")*($D$6:$D$305&lt;&gt;"Proposed")*$I$6:$I$305)),0)</f>
        <v/>
      </c>
      <c r="U248" s="30">
        <f>IF($I248&lt;&gt;"",$I248,IF($T248&gt;0,$T248,""))</f>
        <v/>
      </c>
      <c r="V248" s="28">
        <f>IF(AND($A248&lt;&gt;"",$B248="Program"),SUMIFS($J$6:$J$305,$C$6:$C$305,$A248,$B$6:$B$305,"Project",$D$6:$D$305,"&lt;&gt;Proposed"),0)</f>
        <v/>
      </c>
      <c r="W248" s="28">
        <f>IF(AND($A248&lt;&gt;"",$B248="Program"),COUNTIFS($C$6:$C$305,$A248,$B$6:$B$305,"Project",$D$6:$D$305,"&lt;&gt;Proposed")-COUNTIFS($C$6:$C$305,$A248,$B$6:$B$305,"Project",$D$6:$D$305,"&lt;&gt;Proposed",$J$6:$J$305,"&gt;=0"),0)</f>
        <v/>
      </c>
      <c r="X248" s="28">
        <f>IF(OR($Q248=0,$H248="",$AF248="Sprint"),0,IF(AND($B248="Project",$H248&lt;TODAY()),3,IF($U248="",0,IF($U248&lt;=$H248,1,IF(NETWORKDAYS($H248,$U248)-1&gt;IF($B248="Program",Checks!$B$7,Checks!$B$6),3,2)))))</f>
        <v/>
      </c>
      <c r="Y248" s="28">
        <f>IF(OR($Q248=0,$K248="",$K248=0,$AF248="Sprint"),0,IF(AND($B248="Project",$J248=""),0,IF(IF($B248="Program",$V248,$J248)&gt;$K248*(1+Checks!$B$8),3,IF(IF($B248="Program",$V248,$J248)&gt;$K248,2,IF(AND($B248="Program",OR($W248&gt;0,$V248=0)),0,1)))))</f>
        <v/>
      </c>
      <c r="Z248" s="28">
        <f>IF($A248="",0,IF($C248="Portfolio",1,IF(AND($B248="Project",$C248&lt;&gt;"",$C248&lt;&gt;"Outside the portfolio"),IFERROR(IF(AND(INDEX($B$6:$B$305,MATCH($C248,$A$6:$A$305,0))="Program",INDEX($C$6:$C$305,MATCH($C248,$A$6:$A$305,0))="Portfolio"),1,0),0),0)))</f>
        <v/>
      </c>
      <c r="AA248" s="28">
        <f>IF(AND($A248&lt;&gt;"",$E248="",OR($Q248=1,$D248="Proposed")),1,0)</f>
        <v/>
      </c>
      <c r="AB248" s="28">
        <f>IF(AND($A248&lt;&gt;"",$B248="Program",$F248="",$Q248=1),1,0)</f>
        <v/>
      </c>
      <c r="AC248" s="28">
        <f>IF(OR($A248="",$D248="Completed",$D248="Terminated"),0,IF($C248="",1,IF($C248="Portfolio",0,IF($C248="Outside the portfolio",IF($Q248=1,2,0),IF($B248="Project",IF(IFERROR(INDEX($B$6:$B$305,MATCH($C248,$A$6:$A$305,0)),"")="Program",0,1),1)))))</f>
        <v/>
      </c>
      <c r="AD248" s="28">
        <f>IF(AND($A248&lt;&gt;"",OR($M248="■ Red",$M248="◧ Amber"),$L248=""),1,0)</f>
        <v/>
      </c>
      <c r="AE248" s="28">
        <f>$AA248+$AB248+IF($AC248&gt;0,1,0)+$AD248+$AG248+$AH248</f>
        <v/>
      </c>
      <c r="AF248" s="25" t="n"/>
      <c r="AG248" s="28">
        <f>IF(AND($A248&lt;&gt;"",$K248&lt;&gt;"",$C248&lt;&gt;"Portfolio",$D248&lt;&gt;"Completed",$D248&lt;&gt;"Terminated"),1,0)</f>
        <v/>
      </c>
      <c r="AH248" s="28">
        <f>IF(AND($A248&lt;&gt;"",COUNTIF($A$6:$A$305,$A248)&gt;1),1,0)</f>
        <v/>
      </c>
      <c r="AI248" s="28">
        <f>IF(AND($A248&lt;&gt;"",$C248="Portfolio"),COUNTIFS($C$6:$C248,"Portfolio",$A$6:$A248,"&lt;&gt;"),"")</f>
        <v/>
      </c>
    </row>
    <row r="249">
      <c r="A249" s="25" t="n"/>
      <c r="B249" s="25" t="n"/>
      <c r="C249" s="25" t="n"/>
      <c r="D249" s="25" t="n"/>
      <c r="E249" s="25" t="n"/>
      <c r="F249" s="25" t="n"/>
      <c r="G249" s="25" t="n"/>
      <c r="H249" s="26" t="n"/>
      <c r="I249" s="26" t="n"/>
      <c r="J249" s="27" t="n"/>
      <c r="K249" s="27" t="n"/>
      <c r="L249" s="23" t="n"/>
      <c r="M249" s="28">
        <f>IF($A249="","",IF($D249="","Not read",IF($Q249=0,"Not counted",IF(MAX($X249,$Y249)=3,"■ Red",IF(MAX($X249,$Y249)=2,"◧ Amber",IF(MAX($X249,$Y249)=1,"□ On track","Not read"))))))</f>
        <v/>
      </c>
      <c r="N249" s="28">
        <f>IF(OR($A249="",$B249&lt;&gt;"Program"),"","■ "&amp;COUNTIFS($C$6:$C$305,$A249,$M$6:$M$305,"■ Red")&amp;" Red, ◧ "&amp;COUNTIFS($C$6:$C$305,$A249,$M$6:$M$305,"◧ Amber")&amp;" Amber")</f>
        <v/>
      </c>
      <c r="O249" s="29">
        <f>IF(OR($A249="",$E249=""),"",COUNTIFS($E$6:$E$305,$E249,$D$6:$D$305,"Active")+COUNTIFS($E$6:$E$305,$E249,$D$6:$D$305,"Paused"))</f>
        <v/>
      </c>
      <c r="P249" s="28">
        <f>IF($A249="","",IF($AE249=0,"○ Clear",IF($AA249=1,"△ No owner",IF($AC249=1,"△ Check Sits under",IF($AC249=2,"△ Outside the portfolio",IF($AB249=1,"△ No sponsor",IF($AH249=1,"△ Name used twice",IF($AG249=1,"△ Budget only counts under Portfolio","△ No variance note"))))))&amp;IF($AE249&gt;1," (+"&amp;($AE249-1)&amp;" more)","")))</f>
        <v/>
      </c>
      <c r="Q249" s="28">
        <f>IF(AND($A249&lt;&gt;"",OR($D249="Active",$D249="Paused")),1,0)</f>
        <v/>
      </c>
      <c r="R249" s="28">
        <f>IFERROR(INDEX($A$6:$A$305,MATCH(242,$S$6:$S$305,0)),"")</f>
        <v/>
      </c>
      <c r="S249" s="28">
        <f>IF(AND($A249&lt;&gt;"",$B249="Program"),COUNTIFS($B$6:$B249,"Program",$A$6:$A249,"&lt;&gt;"),"")</f>
        <v/>
      </c>
      <c r="T249" s="30">
        <f>IF(AND($A249&lt;&gt;"",$B249="Program"),SUMPRODUCT(MAX(($C$6:$C$305=$A249)*($B$6:$B$305="Project")*($D$6:$D$305&lt;&gt;"Proposed")*$I$6:$I$305)),0)</f>
        <v/>
      </c>
      <c r="U249" s="30">
        <f>IF($I249&lt;&gt;"",$I249,IF($T249&gt;0,$T249,""))</f>
        <v/>
      </c>
      <c r="V249" s="28">
        <f>IF(AND($A249&lt;&gt;"",$B249="Program"),SUMIFS($J$6:$J$305,$C$6:$C$305,$A249,$B$6:$B$305,"Project",$D$6:$D$305,"&lt;&gt;Proposed"),0)</f>
        <v/>
      </c>
      <c r="W249" s="28">
        <f>IF(AND($A249&lt;&gt;"",$B249="Program"),COUNTIFS($C$6:$C$305,$A249,$B$6:$B$305,"Project",$D$6:$D$305,"&lt;&gt;Proposed")-COUNTIFS($C$6:$C$305,$A249,$B$6:$B$305,"Project",$D$6:$D$305,"&lt;&gt;Proposed",$J$6:$J$305,"&gt;=0"),0)</f>
        <v/>
      </c>
      <c r="X249" s="28">
        <f>IF(OR($Q249=0,$H249="",$AF249="Sprint"),0,IF(AND($B249="Project",$H249&lt;TODAY()),3,IF($U249="",0,IF($U249&lt;=$H249,1,IF(NETWORKDAYS($H249,$U249)-1&gt;IF($B249="Program",Checks!$B$7,Checks!$B$6),3,2)))))</f>
        <v/>
      </c>
      <c r="Y249" s="28">
        <f>IF(OR($Q249=0,$K249="",$K249=0,$AF249="Sprint"),0,IF(AND($B249="Project",$J249=""),0,IF(IF($B249="Program",$V249,$J249)&gt;$K249*(1+Checks!$B$8),3,IF(IF($B249="Program",$V249,$J249)&gt;$K249,2,IF(AND($B249="Program",OR($W249&gt;0,$V249=0)),0,1)))))</f>
        <v/>
      </c>
      <c r="Z249" s="28">
        <f>IF($A249="",0,IF($C249="Portfolio",1,IF(AND($B249="Project",$C249&lt;&gt;"",$C249&lt;&gt;"Outside the portfolio"),IFERROR(IF(AND(INDEX($B$6:$B$305,MATCH($C249,$A$6:$A$305,0))="Program",INDEX($C$6:$C$305,MATCH($C249,$A$6:$A$305,0))="Portfolio"),1,0),0),0)))</f>
        <v/>
      </c>
      <c r="AA249" s="28">
        <f>IF(AND($A249&lt;&gt;"",$E249="",OR($Q249=1,$D249="Proposed")),1,0)</f>
        <v/>
      </c>
      <c r="AB249" s="28">
        <f>IF(AND($A249&lt;&gt;"",$B249="Program",$F249="",$Q249=1),1,0)</f>
        <v/>
      </c>
      <c r="AC249" s="28">
        <f>IF(OR($A249="",$D249="Completed",$D249="Terminated"),0,IF($C249="",1,IF($C249="Portfolio",0,IF($C249="Outside the portfolio",IF($Q249=1,2,0),IF($B249="Project",IF(IFERROR(INDEX($B$6:$B$305,MATCH($C249,$A$6:$A$305,0)),"")="Program",0,1),1)))))</f>
        <v/>
      </c>
      <c r="AD249" s="28">
        <f>IF(AND($A249&lt;&gt;"",OR($M249="■ Red",$M249="◧ Amber"),$L249=""),1,0)</f>
        <v/>
      </c>
      <c r="AE249" s="28">
        <f>$AA249+$AB249+IF($AC249&gt;0,1,0)+$AD249+$AG249+$AH249</f>
        <v/>
      </c>
      <c r="AF249" s="25" t="n"/>
      <c r="AG249" s="28">
        <f>IF(AND($A249&lt;&gt;"",$K249&lt;&gt;"",$C249&lt;&gt;"Portfolio",$D249&lt;&gt;"Completed",$D249&lt;&gt;"Terminated"),1,0)</f>
        <v/>
      </c>
      <c r="AH249" s="28">
        <f>IF(AND($A249&lt;&gt;"",COUNTIF($A$6:$A$305,$A249)&gt;1),1,0)</f>
        <v/>
      </c>
      <c r="AI249" s="28">
        <f>IF(AND($A249&lt;&gt;"",$C249="Portfolio"),COUNTIFS($C$6:$C249,"Portfolio",$A$6:$A249,"&lt;&gt;"),"")</f>
        <v/>
      </c>
    </row>
    <row r="250">
      <c r="A250" s="25" t="n"/>
      <c r="B250" s="25" t="n"/>
      <c r="C250" s="25" t="n"/>
      <c r="D250" s="25" t="n"/>
      <c r="E250" s="25" t="n"/>
      <c r="F250" s="25" t="n"/>
      <c r="G250" s="25" t="n"/>
      <c r="H250" s="26" t="n"/>
      <c r="I250" s="26" t="n"/>
      <c r="J250" s="27" t="n"/>
      <c r="K250" s="27" t="n"/>
      <c r="L250" s="23" t="n"/>
      <c r="M250" s="28">
        <f>IF($A250="","",IF($D250="","Not read",IF($Q250=0,"Not counted",IF(MAX($X250,$Y250)=3,"■ Red",IF(MAX($X250,$Y250)=2,"◧ Amber",IF(MAX($X250,$Y250)=1,"□ On track","Not read"))))))</f>
        <v/>
      </c>
      <c r="N250" s="28">
        <f>IF(OR($A250="",$B250&lt;&gt;"Program"),"","■ "&amp;COUNTIFS($C$6:$C$305,$A250,$M$6:$M$305,"■ Red")&amp;" Red, ◧ "&amp;COUNTIFS($C$6:$C$305,$A250,$M$6:$M$305,"◧ Amber")&amp;" Amber")</f>
        <v/>
      </c>
      <c r="O250" s="29">
        <f>IF(OR($A250="",$E250=""),"",COUNTIFS($E$6:$E$305,$E250,$D$6:$D$305,"Active")+COUNTIFS($E$6:$E$305,$E250,$D$6:$D$305,"Paused"))</f>
        <v/>
      </c>
      <c r="P250" s="28">
        <f>IF($A250="","",IF($AE250=0,"○ Clear",IF($AA250=1,"△ No owner",IF($AC250=1,"△ Check Sits under",IF($AC250=2,"△ Outside the portfolio",IF($AB250=1,"△ No sponsor",IF($AH250=1,"△ Name used twice",IF($AG250=1,"△ Budget only counts under Portfolio","△ No variance note"))))))&amp;IF($AE250&gt;1," (+"&amp;($AE250-1)&amp;" more)","")))</f>
        <v/>
      </c>
      <c r="Q250" s="28">
        <f>IF(AND($A250&lt;&gt;"",OR($D250="Active",$D250="Paused")),1,0)</f>
        <v/>
      </c>
      <c r="R250" s="28">
        <f>IFERROR(INDEX($A$6:$A$305,MATCH(243,$S$6:$S$305,0)),"")</f>
        <v/>
      </c>
      <c r="S250" s="28">
        <f>IF(AND($A250&lt;&gt;"",$B250="Program"),COUNTIFS($B$6:$B250,"Program",$A$6:$A250,"&lt;&gt;"),"")</f>
        <v/>
      </c>
      <c r="T250" s="30">
        <f>IF(AND($A250&lt;&gt;"",$B250="Program"),SUMPRODUCT(MAX(($C$6:$C$305=$A250)*($B$6:$B$305="Project")*($D$6:$D$305&lt;&gt;"Proposed")*$I$6:$I$305)),0)</f>
        <v/>
      </c>
      <c r="U250" s="30">
        <f>IF($I250&lt;&gt;"",$I250,IF($T250&gt;0,$T250,""))</f>
        <v/>
      </c>
      <c r="V250" s="28">
        <f>IF(AND($A250&lt;&gt;"",$B250="Program"),SUMIFS($J$6:$J$305,$C$6:$C$305,$A250,$B$6:$B$305,"Project",$D$6:$D$305,"&lt;&gt;Proposed"),0)</f>
        <v/>
      </c>
      <c r="W250" s="28">
        <f>IF(AND($A250&lt;&gt;"",$B250="Program"),COUNTIFS($C$6:$C$305,$A250,$B$6:$B$305,"Project",$D$6:$D$305,"&lt;&gt;Proposed")-COUNTIFS($C$6:$C$305,$A250,$B$6:$B$305,"Project",$D$6:$D$305,"&lt;&gt;Proposed",$J$6:$J$305,"&gt;=0"),0)</f>
        <v/>
      </c>
      <c r="X250" s="28">
        <f>IF(OR($Q250=0,$H250="",$AF250="Sprint"),0,IF(AND($B250="Project",$H250&lt;TODAY()),3,IF($U250="",0,IF($U250&lt;=$H250,1,IF(NETWORKDAYS($H250,$U250)-1&gt;IF($B250="Program",Checks!$B$7,Checks!$B$6),3,2)))))</f>
        <v/>
      </c>
      <c r="Y250" s="28">
        <f>IF(OR($Q250=0,$K250="",$K250=0,$AF250="Sprint"),0,IF(AND($B250="Project",$J250=""),0,IF(IF($B250="Program",$V250,$J250)&gt;$K250*(1+Checks!$B$8),3,IF(IF($B250="Program",$V250,$J250)&gt;$K250,2,IF(AND($B250="Program",OR($W250&gt;0,$V250=0)),0,1)))))</f>
        <v/>
      </c>
      <c r="Z250" s="28">
        <f>IF($A250="",0,IF($C250="Portfolio",1,IF(AND($B250="Project",$C250&lt;&gt;"",$C250&lt;&gt;"Outside the portfolio"),IFERROR(IF(AND(INDEX($B$6:$B$305,MATCH($C250,$A$6:$A$305,0))="Program",INDEX($C$6:$C$305,MATCH($C250,$A$6:$A$305,0))="Portfolio"),1,0),0),0)))</f>
        <v/>
      </c>
      <c r="AA250" s="28">
        <f>IF(AND($A250&lt;&gt;"",$E250="",OR($Q250=1,$D250="Proposed")),1,0)</f>
        <v/>
      </c>
      <c r="AB250" s="28">
        <f>IF(AND($A250&lt;&gt;"",$B250="Program",$F250="",$Q250=1),1,0)</f>
        <v/>
      </c>
      <c r="AC250" s="28">
        <f>IF(OR($A250="",$D250="Completed",$D250="Terminated"),0,IF($C250="",1,IF($C250="Portfolio",0,IF($C250="Outside the portfolio",IF($Q250=1,2,0),IF($B250="Project",IF(IFERROR(INDEX($B$6:$B$305,MATCH($C250,$A$6:$A$305,0)),"")="Program",0,1),1)))))</f>
        <v/>
      </c>
      <c r="AD250" s="28">
        <f>IF(AND($A250&lt;&gt;"",OR($M250="■ Red",$M250="◧ Amber"),$L250=""),1,0)</f>
        <v/>
      </c>
      <c r="AE250" s="28">
        <f>$AA250+$AB250+IF($AC250&gt;0,1,0)+$AD250+$AG250+$AH250</f>
        <v/>
      </c>
      <c r="AF250" s="25" t="n"/>
      <c r="AG250" s="28">
        <f>IF(AND($A250&lt;&gt;"",$K250&lt;&gt;"",$C250&lt;&gt;"Portfolio",$D250&lt;&gt;"Completed",$D250&lt;&gt;"Terminated"),1,0)</f>
        <v/>
      </c>
      <c r="AH250" s="28">
        <f>IF(AND($A250&lt;&gt;"",COUNTIF($A$6:$A$305,$A250)&gt;1),1,0)</f>
        <v/>
      </c>
      <c r="AI250" s="28">
        <f>IF(AND($A250&lt;&gt;"",$C250="Portfolio"),COUNTIFS($C$6:$C250,"Portfolio",$A$6:$A250,"&lt;&gt;"),"")</f>
        <v/>
      </c>
    </row>
    <row r="251">
      <c r="A251" s="25" t="n"/>
      <c r="B251" s="25" t="n"/>
      <c r="C251" s="25" t="n"/>
      <c r="D251" s="25" t="n"/>
      <c r="E251" s="25" t="n"/>
      <c r="F251" s="25" t="n"/>
      <c r="G251" s="25" t="n"/>
      <c r="H251" s="26" t="n"/>
      <c r="I251" s="26" t="n"/>
      <c r="J251" s="27" t="n"/>
      <c r="K251" s="27" t="n"/>
      <c r="L251" s="23" t="n"/>
      <c r="M251" s="28">
        <f>IF($A251="","",IF($D251="","Not read",IF($Q251=0,"Not counted",IF(MAX($X251,$Y251)=3,"■ Red",IF(MAX($X251,$Y251)=2,"◧ Amber",IF(MAX($X251,$Y251)=1,"□ On track","Not read"))))))</f>
        <v/>
      </c>
      <c r="N251" s="28">
        <f>IF(OR($A251="",$B251&lt;&gt;"Program"),"","■ "&amp;COUNTIFS($C$6:$C$305,$A251,$M$6:$M$305,"■ Red")&amp;" Red, ◧ "&amp;COUNTIFS($C$6:$C$305,$A251,$M$6:$M$305,"◧ Amber")&amp;" Amber")</f>
        <v/>
      </c>
      <c r="O251" s="29">
        <f>IF(OR($A251="",$E251=""),"",COUNTIFS($E$6:$E$305,$E251,$D$6:$D$305,"Active")+COUNTIFS($E$6:$E$305,$E251,$D$6:$D$305,"Paused"))</f>
        <v/>
      </c>
      <c r="P251" s="28">
        <f>IF($A251="","",IF($AE251=0,"○ Clear",IF($AA251=1,"△ No owner",IF($AC251=1,"△ Check Sits under",IF($AC251=2,"△ Outside the portfolio",IF($AB251=1,"△ No sponsor",IF($AH251=1,"△ Name used twice",IF($AG251=1,"△ Budget only counts under Portfolio","△ No variance note"))))))&amp;IF($AE251&gt;1," (+"&amp;($AE251-1)&amp;" more)","")))</f>
        <v/>
      </c>
      <c r="Q251" s="28">
        <f>IF(AND($A251&lt;&gt;"",OR($D251="Active",$D251="Paused")),1,0)</f>
        <v/>
      </c>
      <c r="R251" s="28">
        <f>IFERROR(INDEX($A$6:$A$305,MATCH(244,$S$6:$S$305,0)),"")</f>
        <v/>
      </c>
      <c r="S251" s="28">
        <f>IF(AND($A251&lt;&gt;"",$B251="Program"),COUNTIFS($B$6:$B251,"Program",$A$6:$A251,"&lt;&gt;"),"")</f>
        <v/>
      </c>
      <c r="T251" s="30">
        <f>IF(AND($A251&lt;&gt;"",$B251="Program"),SUMPRODUCT(MAX(($C$6:$C$305=$A251)*($B$6:$B$305="Project")*($D$6:$D$305&lt;&gt;"Proposed")*$I$6:$I$305)),0)</f>
        <v/>
      </c>
      <c r="U251" s="30">
        <f>IF($I251&lt;&gt;"",$I251,IF($T251&gt;0,$T251,""))</f>
        <v/>
      </c>
      <c r="V251" s="28">
        <f>IF(AND($A251&lt;&gt;"",$B251="Program"),SUMIFS($J$6:$J$305,$C$6:$C$305,$A251,$B$6:$B$305,"Project",$D$6:$D$305,"&lt;&gt;Proposed"),0)</f>
        <v/>
      </c>
      <c r="W251" s="28">
        <f>IF(AND($A251&lt;&gt;"",$B251="Program"),COUNTIFS($C$6:$C$305,$A251,$B$6:$B$305,"Project",$D$6:$D$305,"&lt;&gt;Proposed")-COUNTIFS($C$6:$C$305,$A251,$B$6:$B$305,"Project",$D$6:$D$305,"&lt;&gt;Proposed",$J$6:$J$305,"&gt;=0"),0)</f>
        <v/>
      </c>
      <c r="X251" s="28">
        <f>IF(OR($Q251=0,$H251="",$AF251="Sprint"),0,IF(AND($B251="Project",$H251&lt;TODAY()),3,IF($U251="",0,IF($U251&lt;=$H251,1,IF(NETWORKDAYS($H251,$U251)-1&gt;IF($B251="Program",Checks!$B$7,Checks!$B$6),3,2)))))</f>
        <v/>
      </c>
      <c r="Y251" s="28">
        <f>IF(OR($Q251=0,$K251="",$K251=0,$AF251="Sprint"),0,IF(AND($B251="Project",$J251=""),0,IF(IF($B251="Program",$V251,$J251)&gt;$K251*(1+Checks!$B$8),3,IF(IF($B251="Program",$V251,$J251)&gt;$K251,2,IF(AND($B251="Program",OR($W251&gt;0,$V251=0)),0,1)))))</f>
        <v/>
      </c>
      <c r="Z251" s="28">
        <f>IF($A251="",0,IF($C251="Portfolio",1,IF(AND($B251="Project",$C251&lt;&gt;"",$C251&lt;&gt;"Outside the portfolio"),IFERROR(IF(AND(INDEX($B$6:$B$305,MATCH($C251,$A$6:$A$305,0))="Program",INDEX($C$6:$C$305,MATCH($C251,$A$6:$A$305,0))="Portfolio"),1,0),0),0)))</f>
        <v/>
      </c>
      <c r="AA251" s="28">
        <f>IF(AND($A251&lt;&gt;"",$E251="",OR($Q251=1,$D251="Proposed")),1,0)</f>
        <v/>
      </c>
      <c r="AB251" s="28">
        <f>IF(AND($A251&lt;&gt;"",$B251="Program",$F251="",$Q251=1),1,0)</f>
        <v/>
      </c>
      <c r="AC251" s="28">
        <f>IF(OR($A251="",$D251="Completed",$D251="Terminated"),0,IF($C251="",1,IF($C251="Portfolio",0,IF($C251="Outside the portfolio",IF($Q251=1,2,0),IF($B251="Project",IF(IFERROR(INDEX($B$6:$B$305,MATCH($C251,$A$6:$A$305,0)),"")="Program",0,1),1)))))</f>
        <v/>
      </c>
      <c r="AD251" s="28">
        <f>IF(AND($A251&lt;&gt;"",OR($M251="■ Red",$M251="◧ Amber"),$L251=""),1,0)</f>
        <v/>
      </c>
      <c r="AE251" s="28">
        <f>$AA251+$AB251+IF($AC251&gt;0,1,0)+$AD251+$AG251+$AH251</f>
        <v/>
      </c>
      <c r="AF251" s="25" t="n"/>
      <c r="AG251" s="28">
        <f>IF(AND($A251&lt;&gt;"",$K251&lt;&gt;"",$C251&lt;&gt;"Portfolio",$D251&lt;&gt;"Completed",$D251&lt;&gt;"Terminated"),1,0)</f>
        <v/>
      </c>
      <c r="AH251" s="28">
        <f>IF(AND($A251&lt;&gt;"",COUNTIF($A$6:$A$305,$A251)&gt;1),1,0)</f>
        <v/>
      </c>
      <c r="AI251" s="28">
        <f>IF(AND($A251&lt;&gt;"",$C251="Portfolio"),COUNTIFS($C$6:$C251,"Portfolio",$A$6:$A251,"&lt;&gt;"),"")</f>
        <v/>
      </c>
    </row>
    <row r="252">
      <c r="A252" s="25" t="n"/>
      <c r="B252" s="25" t="n"/>
      <c r="C252" s="25" t="n"/>
      <c r="D252" s="25" t="n"/>
      <c r="E252" s="25" t="n"/>
      <c r="F252" s="25" t="n"/>
      <c r="G252" s="25" t="n"/>
      <c r="H252" s="26" t="n"/>
      <c r="I252" s="26" t="n"/>
      <c r="J252" s="27" t="n"/>
      <c r="K252" s="27" t="n"/>
      <c r="L252" s="23" t="n"/>
      <c r="M252" s="28">
        <f>IF($A252="","",IF($D252="","Not read",IF($Q252=0,"Not counted",IF(MAX($X252,$Y252)=3,"■ Red",IF(MAX($X252,$Y252)=2,"◧ Amber",IF(MAX($X252,$Y252)=1,"□ On track","Not read"))))))</f>
        <v/>
      </c>
      <c r="N252" s="28">
        <f>IF(OR($A252="",$B252&lt;&gt;"Program"),"","■ "&amp;COUNTIFS($C$6:$C$305,$A252,$M$6:$M$305,"■ Red")&amp;" Red, ◧ "&amp;COUNTIFS($C$6:$C$305,$A252,$M$6:$M$305,"◧ Amber")&amp;" Amber")</f>
        <v/>
      </c>
      <c r="O252" s="29">
        <f>IF(OR($A252="",$E252=""),"",COUNTIFS($E$6:$E$305,$E252,$D$6:$D$305,"Active")+COUNTIFS($E$6:$E$305,$E252,$D$6:$D$305,"Paused"))</f>
        <v/>
      </c>
      <c r="P252" s="28">
        <f>IF($A252="","",IF($AE252=0,"○ Clear",IF($AA252=1,"△ No owner",IF($AC252=1,"△ Check Sits under",IF($AC252=2,"△ Outside the portfolio",IF($AB252=1,"△ No sponsor",IF($AH252=1,"△ Name used twice",IF($AG252=1,"△ Budget only counts under Portfolio","△ No variance note"))))))&amp;IF($AE252&gt;1," (+"&amp;($AE252-1)&amp;" more)","")))</f>
        <v/>
      </c>
      <c r="Q252" s="28">
        <f>IF(AND($A252&lt;&gt;"",OR($D252="Active",$D252="Paused")),1,0)</f>
        <v/>
      </c>
      <c r="R252" s="28">
        <f>IFERROR(INDEX($A$6:$A$305,MATCH(245,$S$6:$S$305,0)),"")</f>
        <v/>
      </c>
      <c r="S252" s="28">
        <f>IF(AND($A252&lt;&gt;"",$B252="Program"),COUNTIFS($B$6:$B252,"Program",$A$6:$A252,"&lt;&gt;"),"")</f>
        <v/>
      </c>
      <c r="T252" s="30">
        <f>IF(AND($A252&lt;&gt;"",$B252="Program"),SUMPRODUCT(MAX(($C$6:$C$305=$A252)*($B$6:$B$305="Project")*($D$6:$D$305&lt;&gt;"Proposed")*$I$6:$I$305)),0)</f>
        <v/>
      </c>
      <c r="U252" s="30">
        <f>IF($I252&lt;&gt;"",$I252,IF($T252&gt;0,$T252,""))</f>
        <v/>
      </c>
      <c r="V252" s="28">
        <f>IF(AND($A252&lt;&gt;"",$B252="Program"),SUMIFS($J$6:$J$305,$C$6:$C$305,$A252,$B$6:$B$305,"Project",$D$6:$D$305,"&lt;&gt;Proposed"),0)</f>
        <v/>
      </c>
      <c r="W252" s="28">
        <f>IF(AND($A252&lt;&gt;"",$B252="Program"),COUNTIFS($C$6:$C$305,$A252,$B$6:$B$305,"Project",$D$6:$D$305,"&lt;&gt;Proposed")-COUNTIFS($C$6:$C$305,$A252,$B$6:$B$305,"Project",$D$6:$D$305,"&lt;&gt;Proposed",$J$6:$J$305,"&gt;=0"),0)</f>
        <v/>
      </c>
      <c r="X252" s="28">
        <f>IF(OR($Q252=0,$H252="",$AF252="Sprint"),0,IF(AND($B252="Project",$H252&lt;TODAY()),3,IF($U252="",0,IF($U252&lt;=$H252,1,IF(NETWORKDAYS($H252,$U252)-1&gt;IF($B252="Program",Checks!$B$7,Checks!$B$6),3,2)))))</f>
        <v/>
      </c>
      <c r="Y252" s="28">
        <f>IF(OR($Q252=0,$K252="",$K252=0,$AF252="Sprint"),0,IF(AND($B252="Project",$J252=""),0,IF(IF($B252="Program",$V252,$J252)&gt;$K252*(1+Checks!$B$8),3,IF(IF($B252="Program",$V252,$J252)&gt;$K252,2,IF(AND($B252="Program",OR($W252&gt;0,$V252=0)),0,1)))))</f>
        <v/>
      </c>
      <c r="Z252" s="28">
        <f>IF($A252="",0,IF($C252="Portfolio",1,IF(AND($B252="Project",$C252&lt;&gt;"",$C252&lt;&gt;"Outside the portfolio"),IFERROR(IF(AND(INDEX($B$6:$B$305,MATCH($C252,$A$6:$A$305,0))="Program",INDEX($C$6:$C$305,MATCH($C252,$A$6:$A$305,0))="Portfolio"),1,0),0),0)))</f>
        <v/>
      </c>
      <c r="AA252" s="28">
        <f>IF(AND($A252&lt;&gt;"",$E252="",OR($Q252=1,$D252="Proposed")),1,0)</f>
        <v/>
      </c>
      <c r="AB252" s="28">
        <f>IF(AND($A252&lt;&gt;"",$B252="Program",$F252="",$Q252=1),1,0)</f>
        <v/>
      </c>
      <c r="AC252" s="28">
        <f>IF(OR($A252="",$D252="Completed",$D252="Terminated"),0,IF($C252="",1,IF($C252="Portfolio",0,IF($C252="Outside the portfolio",IF($Q252=1,2,0),IF($B252="Project",IF(IFERROR(INDEX($B$6:$B$305,MATCH($C252,$A$6:$A$305,0)),"")="Program",0,1),1)))))</f>
        <v/>
      </c>
      <c r="AD252" s="28">
        <f>IF(AND($A252&lt;&gt;"",OR($M252="■ Red",$M252="◧ Amber"),$L252=""),1,0)</f>
        <v/>
      </c>
      <c r="AE252" s="28">
        <f>$AA252+$AB252+IF($AC252&gt;0,1,0)+$AD252+$AG252+$AH252</f>
        <v/>
      </c>
      <c r="AF252" s="25" t="n"/>
      <c r="AG252" s="28">
        <f>IF(AND($A252&lt;&gt;"",$K252&lt;&gt;"",$C252&lt;&gt;"Portfolio",$D252&lt;&gt;"Completed",$D252&lt;&gt;"Terminated"),1,0)</f>
        <v/>
      </c>
      <c r="AH252" s="28">
        <f>IF(AND($A252&lt;&gt;"",COUNTIF($A$6:$A$305,$A252)&gt;1),1,0)</f>
        <v/>
      </c>
      <c r="AI252" s="28">
        <f>IF(AND($A252&lt;&gt;"",$C252="Portfolio"),COUNTIFS($C$6:$C252,"Portfolio",$A$6:$A252,"&lt;&gt;"),"")</f>
        <v/>
      </c>
    </row>
    <row r="253">
      <c r="A253" s="25" t="n"/>
      <c r="B253" s="25" t="n"/>
      <c r="C253" s="25" t="n"/>
      <c r="D253" s="25" t="n"/>
      <c r="E253" s="25" t="n"/>
      <c r="F253" s="25" t="n"/>
      <c r="G253" s="25" t="n"/>
      <c r="H253" s="26" t="n"/>
      <c r="I253" s="26" t="n"/>
      <c r="J253" s="27" t="n"/>
      <c r="K253" s="27" t="n"/>
      <c r="L253" s="23" t="n"/>
      <c r="M253" s="28">
        <f>IF($A253="","",IF($D253="","Not read",IF($Q253=0,"Not counted",IF(MAX($X253,$Y253)=3,"■ Red",IF(MAX($X253,$Y253)=2,"◧ Amber",IF(MAX($X253,$Y253)=1,"□ On track","Not read"))))))</f>
        <v/>
      </c>
      <c r="N253" s="28">
        <f>IF(OR($A253="",$B253&lt;&gt;"Program"),"","■ "&amp;COUNTIFS($C$6:$C$305,$A253,$M$6:$M$305,"■ Red")&amp;" Red, ◧ "&amp;COUNTIFS($C$6:$C$305,$A253,$M$6:$M$305,"◧ Amber")&amp;" Amber")</f>
        <v/>
      </c>
      <c r="O253" s="29">
        <f>IF(OR($A253="",$E253=""),"",COUNTIFS($E$6:$E$305,$E253,$D$6:$D$305,"Active")+COUNTIFS($E$6:$E$305,$E253,$D$6:$D$305,"Paused"))</f>
        <v/>
      </c>
      <c r="P253" s="28">
        <f>IF($A253="","",IF($AE253=0,"○ Clear",IF($AA253=1,"△ No owner",IF($AC253=1,"△ Check Sits under",IF($AC253=2,"△ Outside the portfolio",IF($AB253=1,"△ No sponsor",IF($AH253=1,"△ Name used twice",IF($AG253=1,"△ Budget only counts under Portfolio","△ No variance note"))))))&amp;IF($AE253&gt;1," (+"&amp;($AE253-1)&amp;" more)","")))</f>
        <v/>
      </c>
      <c r="Q253" s="28">
        <f>IF(AND($A253&lt;&gt;"",OR($D253="Active",$D253="Paused")),1,0)</f>
        <v/>
      </c>
      <c r="R253" s="28">
        <f>IFERROR(INDEX($A$6:$A$305,MATCH(246,$S$6:$S$305,0)),"")</f>
        <v/>
      </c>
      <c r="S253" s="28">
        <f>IF(AND($A253&lt;&gt;"",$B253="Program"),COUNTIFS($B$6:$B253,"Program",$A$6:$A253,"&lt;&gt;"),"")</f>
        <v/>
      </c>
      <c r="T253" s="30">
        <f>IF(AND($A253&lt;&gt;"",$B253="Program"),SUMPRODUCT(MAX(($C$6:$C$305=$A253)*($B$6:$B$305="Project")*($D$6:$D$305&lt;&gt;"Proposed")*$I$6:$I$305)),0)</f>
        <v/>
      </c>
      <c r="U253" s="30">
        <f>IF($I253&lt;&gt;"",$I253,IF($T253&gt;0,$T253,""))</f>
        <v/>
      </c>
      <c r="V253" s="28">
        <f>IF(AND($A253&lt;&gt;"",$B253="Program"),SUMIFS($J$6:$J$305,$C$6:$C$305,$A253,$B$6:$B$305,"Project",$D$6:$D$305,"&lt;&gt;Proposed"),0)</f>
        <v/>
      </c>
      <c r="W253" s="28">
        <f>IF(AND($A253&lt;&gt;"",$B253="Program"),COUNTIFS($C$6:$C$305,$A253,$B$6:$B$305,"Project",$D$6:$D$305,"&lt;&gt;Proposed")-COUNTIFS($C$6:$C$305,$A253,$B$6:$B$305,"Project",$D$6:$D$305,"&lt;&gt;Proposed",$J$6:$J$305,"&gt;=0"),0)</f>
        <v/>
      </c>
      <c r="X253" s="28">
        <f>IF(OR($Q253=0,$H253="",$AF253="Sprint"),0,IF(AND($B253="Project",$H253&lt;TODAY()),3,IF($U253="",0,IF($U253&lt;=$H253,1,IF(NETWORKDAYS($H253,$U253)-1&gt;IF($B253="Program",Checks!$B$7,Checks!$B$6),3,2)))))</f>
        <v/>
      </c>
      <c r="Y253" s="28">
        <f>IF(OR($Q253=0,$K253="",$K253=0,$AF253="Sprint"),0,IF(AND($B253="Project",$J253=""),0,IF(IF($B253="Program",$V253,$J253)&gt;$K253*(1+Checks!$B$8),3,IF(IF($B253="Program",$V253,$J253)&gt;$K253,2,IF(AND($B253="Program",OR($W253&gt;0,$V253=0)),0,1)))))</f>
        <v/>
      </c>
      <c r="Z253" s="28">
        <f>IF($A253="",0,IF($C253="Portfolio",1,IF(AND($B253="Project",$C253&lt;&gt;"",$C253&lt;&gt;"Outside the portfolio"),IFERROR(IF(AND(INDEX($B$6:$B$305,MATCH($C253,$A$6:$A$305,0))="Program",INDEX($C$6:$C$305,MATCH($C253,$A$6:$A$305,0))="Portfolio"),1,0),0),0)))</f>
        <v/>
      </c>
      <c r="AA253" s="28">
        <f>IF(AND($A253&lt;&gt;"",$E253="",OR($Q253=1,$D253="Proposed")),1,0)</f>
        <v/>
      </c>
      <c r="AB253" s="28">
        <f>IF(AND($A253&lt;&gt;"",$B253="Program",$F253="",$Q253=1),1,0)</f>
        <v/>
      </c>
      <c r="AC253" s="28">
        <f>IF(OR($A253="",$D253="Completed",$D253="Terminated"),0,IF($C253="",1,IF($C253="Portfolio",0,IF($C253="Outside the portfolio",IF($Q253=1,2,0),IF($B253="Project",IF(IFERROR(INDEX($B$6:$B$305,MATCH($C253,$A$6:$A$305,0)),"")="Program",0,1),1)))))</f>
        <v/>
      </c>
      <c r="AD253" s="28">
        <f>IF(AND($A253&lt;&gt;"",OR($M253="■ Red",$M253="◧ Amber"),$L253=""),1,0)</f>
        <v/>
      </c>
      <c r="AE253" s="28">
        <f>$AA253+$AB253+IF($AC253&gt;0,1,0)+$AD253+$AG253+$AH253</f>
        <v/>
      </c>
      <c r="AF253" s="25" t="n"/>
      <c r="AG253" s="28">
        <f>IF(AND($A253&lt;&gt;"",$K253&lt;&gt;"",$C253&lt;&gt;"Portfolio",$D253&lt;&gt;"Completed",$D253&lt;&gt;"Terminated"),1,0)</f>
        <v/>
      </c>
      <c r="AH253" s="28">
        <f>IF(AND($A253&lt;&gt;"",COUNTIF($A$6:$A$305,$A253)&gt;1),1,0)</f>
        <v/>
      </c>
      <c r="AI253" s="28">
        <f>IF(AND($A253&lt;&gt;"",$C253="Portfolio"),COUNTIFS($C$6:$C253,"Portfolio",$A$6:$A253,"&lt;&gt;"),"")</f>
        <v/>
      </c>
    </row>
    <row r="254">
      <c r="A254" s="25" t="n"/>
      <c r="B254" s="25" t="n"/>
      <c r="C254" s="25" t="n"/>
      <c r="D254" s="25" t="n"/>
      <c r="E254" s="25" t="n"/>
      <c r="F254" s="25" t="n"/>
      <c r="G254" s="25" t="n"/>
      <c r="H254" s="26" t="n"/>
      <c r="I254" s="26" t="n"/>
      <c r="J254" s="27" t="n"/>
      <c r="K254" s="27" t="n"/>
      <c r="L254" s="23" t="n"/>
      <c r="M254" s="28">
        <f>IF($A254="","",IF($D254="","Not read",IF($Q254=0,"Not counted",IF(MAX($X254,$Y254)=3,"■ Red",IF(MAX($X254,$Y254)=2,"◧ Amber",IF(MAX($X254,$Y254)=1,"□ On track","Not read"))))))</f>
        <v/>
      </c>
      <c r="N254" s="28">
        <f>IF(OR($A254="",$B254&lt;&gt;"Program"),"","■ "&amp;COUNTIFS($C$6:$C$305,$A254,$M$6:$M$305,"■ Red")&amp;" Red, ◧ "&amp;COUNTIFS($C$6:$C$305,$A254,$M$6:$M$305,"◧ Amber")&amp;" Amber")</f>
        <v/>
      </c>
      <c r="O254" s="29">
        <f>IF(OR($A254="",$E254=""),"",COUNTIFS($E$6:$E$305,$E254,$D$6:$D$305,"Active")+COUNTIFS($E$6:$E$305,$E254,$D$6:$D$305,"Paused"))</f>
        <v/>
      </c>
      <c r="P254" s="28">
        <f>IF($A254="","",IF($AE254=0,"○ Clear",IF($AA254=1,"△ No owner",IF($AC254=1,"△ Check Sits under",IF($AC254=2,"△ Outside the portfolio",IF($AB254=1,"△ No sponsor",IF($AH254=1,"△ Name used twice",IF($AG254=1,"△ Budget only counts under Portfolio","△ No variance note"))))))&amp;IF($AE254&gt;1," (+"&amp;($AE254-1)&amp;" more)","")))</f>
        <v/>
      </c>
      <c r="Q254" s="28">
        <f>IF(AND($A254&lt;&gt;"",OR($D254="Active",$D254="Paused")),1,0)</f>
        <v/>
      </c>
      <c r="R254" s="28">
        <f>IFERROR(INDEX($A$6:$A$305,MATCH(247,$S$6:$S$305,0)),"")</f>
        <v/>
      </c>
      <c r="S254" s="28">
        <f>IF(AND($A254&lt;&gt;"",$B254="Program"),COUNTIFS($B$6:$B254,"Program",$A$6:$A254,"&lt;&gt;"),"")</f>
        <v/>
      </c>
      <c r="T254" s="30">
        <f>IF(AND($A254&lt;&gt;"",$B254="Program"),SUMPRODUCT(MAX(($C$6:$C$305=$A254)*($B$6:$B$305="Project")*($D$6:$D$305&lt;&gt;"Proposed")*$I$6:$I$305)),0)</f>
        <v/>
      </c>
      <c r="U254" s="30">
        <f>IF($I254&lt;&gt;"",$I254,IF($T254&gt;0,$T254,""))</f>
        <v/>
      </c>
      <c r="V254" s="28">
        <f>IF(AND($A254&lt;&gt;"",$B254="Program"),SUMIFS($J$6:$J$305,$C$6:$C$305,$A254,$B$6:$B$305,"Project",$D$6:$D$305,"&lt;&gt;Proposed"),0)</f>
        <v/>
      </c>
      <c r="W254" s="28">
        <f>IF(AND($A254&lt;&gt;"",$B254="Program"),COUNTIFS($C$6:$C$305,$A254,$B$6:$B$305,"Project",$D$6:$D$305,"&lt;&gt;Proposed")-COUNTIFS($C$6:$C$305,$A254,$B$6:$B$305,"Project",$D$6:$D$305,"&lt;&gt;Proposed",$J$6:$J$305,"&gt;=0"),0)</f>
        <v/>
      </c>
      <c r="X254" s="28">
        <f>IF(OR($Q254=0,$H254="",$AF254="Sprint"),0,IF(AND($B254="Project",$H254&lt;TODAY()),3,IF($U254="",0,IF($U254&lt;=$H254,1,IF(NETWORKDAYS($H254,$U254)-1&gt;IF($B254="Program",Checks!$B$7,Checks!$B$6),3,2)))))</f>
        <v/>
      </c>
      <c r="Y254" s="28">
        <f>IF(OR($Q254=0,$K254="",$K254=0,$AF254="Sprint"),0,IF(AND($B254="Project",$J254=""),0,IF(IF($B254="Program",$V254,$J254)&gt;$K254*(1+Checks!$B$8),3,IF(IF($B254="Program",$V254,$J254)&gt;$K254,2,IF(AND($B254="Program",OR($W254&gt;0,$V254=0)),0,1)))))</f>
        <v/>
      </c>
      <c r="Z254" s="28">
        <f>IF($A254="",0,IF($C254="Portfolio",1,IF(AND($B254="Project",$C254&lt;&gt;"",$C254&lt;&gt;"Outside the portfolio"),IFERROR(IF(AND(INDEX($B$6:$B$305,MATCH($C254,$A$6:$A$305,0))="Program",INDEX($C$6:$C$305,MATCH($C254,$A$6:$A$305,0))="Portfolio"),1,0),0),0)))</f>
        <v/>
      </c>
      <c r="AA254" s="28">
        <f>IF(AND($A254&lt;&gt;"",$E254="",OR($Q254=1,$D254="Proposed")),1,0)</f>
        <v/>
      </c>
      <c r="AB254" s="28">
        <f>IF(AND($A254&lt;&gt;"",$B254="Program",$F254="",$Q254=1),1,0)</f>
        <v/>
      </c>
      <c r="AC254" s="28">
        <f>IF(OR($A254="",$D254="Completed",$D254="Terminated"),0,IF($C254="",1,IF($C254="Portfolio",0,IF($C254="Outside the portfolio",IF($Q254=1,2,0),IF($B254="Project",IF(IFERROR(INDEX($B$6:$B$305,MATCH($C254,$A$6:$A$305,0)),"")="Program",0,1),1)))))</f>
        <v/>
      </c>
      <c r="AD254" s="28">
        <f>IF(AND($A254&lt;&gt;"",OR($M254="■ Red",$M254="◧ Amber"),$L254=""),1,0)</f>
        <v/>
      </c>
      <c r="AE254" s="28">
        <f>$AA254+$AB254+IF($AC254&gt;0,1,0)+$AD254+$AG254+$AH254</f>
        <v/>
      </c>
      <c r="AF254" s="25" t="n"/>
      <c r="AG254" s="28">
        <f>IF(AND($A254&lt;&gt;"",$K254&lt;&gt;"",$C254&lt;&gt;"Portfolio",$D254&lt;&gt;"Completed",$D254&lt;&gt;"Terminated"),1,0)</f>
        <v/>
      </c>
      <c r="AH254" s="28">
        <f>IF(AND($A254&lt;&gt;"",COUNTIF($A$6:$A$305,$A254)&gt;1),1,0)</f>
        <v/>
      </c>
      <c r="AI254" s="28">
        <f>IF(AND($A254&lt;&gt;"",$C254="Portfolio"),COUNTIFS($C$6:$C254,"Portfolio",$A$6:$A254,"&lt;&gt;"),"")</f>
        <v/>
      </c>
    </row>
    <row r="255">
      <c r="A255" s="25" t="n"/>
      <c r="B255" s="25" t="n"/>
      <c r="C255" s="25" t="n"/>
      <c r="D255" s="25" t="n"/>
      <c r="E255" s="25" t="n"/>
      <c r="F255" s="25" t="n"/>
      <c r="G255" s="25" t="n"/>
      <c r="H255" s="26" t="n"/>
      <c r="I255" s="26" t="n"/>
      <c r="J255" s="27" t="n"/>
      <c r="K255" s="27" t="n"/>
      <c r="L255" s="23" t="n"/>
      <c r="M255" s="28">
        <f>IF($A255="","",IF($D255="","Not read",IF($Q255=0,"Not counted",IF(MAX($X255,$Y255)=3,"■ Red",IF(MAX($X255,$Y255)=2,"◧ Amber",IF(MAX($X255,$Y255)=1,"□ On track","Not read"))))))</f>
        <v/>
      </c>
      <c r="N255" s="28">
        <f>IF(OR($A255="",$B255&lt;&gt;"Program"),"","■ "&amp;COUNTIFS($C$6:$C$305,$A255,$M$6:$M$305,"■ Red")&amp;" Red, ◧ "&amp;COUNTIFS($C$6:$C$305,$A255,$M$6:$M$305,"◧ Amber")&amp;" Amber")</f>
        <v/>
      </c>
      <c r="O255" s="29">
        <f>IF(OR($A255="",$E255=""),"",COUNTIFS($E$6:$E$305,$E255,$D$6:$D$305,"Active")+COUNTIFS($E$6:$E$305,$E255,$D$6:$D$305,"Paused"))</f>
        <v/>
      </c>
      <c r="P255" s="28">
        <f>IF($A255="","",IF($AE255=0,"○ Clear",IF($AA255=1,"△ No owner",IF($AC255=1,"△ Check Sits under",IF($AC255=2,"△ Outside the portfolio",IF($AB255=1,"△ No sponsor",IF($AH255=1,"△ Name used twice",IF($AG255=1,"△ Budget only counts under Portfolio","△ No variance note"))))))&amp;IF($AE255&gt;1," (+"&amp;($AE255-1)&amp;" more)","")))</f>
        <v/>
      </c>
      <c r="Q255" s="28">
        <f>IF(AND($A255&lt;&gt;"",OR($D255="Active",$D255="Paused")),1,0)</f>
        <v/>
      </c>
      <c r="R255" s="28">
        <f>IFERROR(INDEX($A$6:$A$305,MATCH(248,$S$6:$S$305,0)),"")</f>
        <v/>
      </c>
      <c r="S255" s="28">
        <f>IF(AND($A255&lt;&gt;"",$B255="Program"),COUNTIFS($B$6:$B255,"Program",$A$6:$A255,"&lt;&gt;"),"")</f>
        <v/>
      </c>
      <c r="T255" s="30">
        <f>IF(AND($A255&lt;&gt;"",$B255="Program"),SUMPRODUCT(MAX(($C$6:$C$305=$A255)*($B$6:$B$305="Project")*($D$6:$D$305&lt;&gt;"Proposed")*$I$6:$I$305)),0)</f>
        <v/>
      </c>
      <c r="U255" s="30">
        <f>IF($I255&lt;&gt;"",$I255,IF($T255&gt;0,$T255,""))</f>
        <v/>
      </c>
      <c r="V255" s="28">
        <f>IF(AND($A255&lt;&gt;"",$B255="Program"),SUMIFS($J$6:$J$305,$C$6:$C$305,$A255,$B$6:$B$305,"Project",$D$6:$D$305,"&lt;&gt;Proposed"),0)</f>
        <v/>
      </c>
      <c r="W255" s="28">
        <f>IF(AND($A255&lt;&gt;"",$B255="Program"),COUNTIFS($C$6:$C$305,$A255,$B$6:$B$305,"Project",$D$6:$D$305,"&lt;&gt;Proposed")-COUNTIFS($C$6:$C$305,$A255,$B$6:$B$305,"Project",$D$6:$D$305,"&lt;&gt;Proposed",$J$6:$J$305,"&gt;=0"),0)</f>
        <v/>
      </c>
      <c r="X255" s="28">
        <f>IF(OR($Q255=0,$H255="",$AF255="Sprint"),0,IF(AND($B255="Project",$H255&lt;TODAY()),3,IF($U255="",0,IF($U255&lt;=$H255,1,IF(NETWORKDAYS($H255,$U255)-1&gt;IF($B255="Program",Checks!$B$7,Checks!$B$6),3,2)))))</f>
        <v/>
      </c>
      <c r="Y255" s="28">
        <f>IF(OR($Q255=0,$K255="",$K255=0,$AF255="Sprint"),0,IF(AND($B255="Project",$J255=""),0,IF(IF($B255="Program",$V255,$J255)&gt;$K255*(1+Checks!$B$8),3,IF(IF($B255="Program",$V255,$J255)&gt;$K255,2,IF(AND($B255="Program",OR($W255&gt;0,$V255=0)),0,1)))))</f>
        <v/>
      </c>
      <c r="Z255" s="28">
        <f>IF($A255="",0,IF($C255="Portfolio",1,IF(AND($B255="Project",$C255&lt;&gt;"",$C255&lt;&gt;"Outside the portfolio"),IFERROR(IF(AND(INDEX($B$6:$B$305,MATCH($C255,$A$6:$A$305,0))="Program",INDEX($C$6:$C$305,MATCH($C255,$A$6:$A$305,0))="Portfolio"),1,0),0),0)))</f>
        <v/>
      </c>
      <c r="AA255" s="28">
        <f>IF(AND($A255&lt;&gt;"",$E255="",OR($Q255=1,$D255="Proposed")),1,0)</f>
        <v/>
      </c>
      <c r="AB255" s="28">
        <f>IF(AND($A255&lt;&gt;"",$B255="Program",$F255="",$Q255=1),1,0)</f>
        <v/>
      </c>
      <c r="AC255" s="28">
        <f>IF(OR($A255="",$D255="Completed",$D255="Terminated"),0,IF($C255="",1,IF($C255="Portfolio",0,IF($C255="Outside the portfolio",IF($Q255=1,2,0),IF($B255="Project",IF(IFERROR(INDEX($B$6:$B$305,MATCH($C255,$A$6:$A$305,0)),"")="Program",0,1),1)))))</f>
        <v/>
      </c>
      <c r="AD255" s="28">
        <f>IF(AND($A255&lt;&gt;"",OR($M255="■ Red",$M255="◧ Amber"),$L255=""),1,0)</f>
        <v/>
      </c>
      <c r="AE255" s="28">
        <f>$AA255+$AB255+IF($AC255&gt;0,1,0)+$AD255+$AG255+$AH255</f>
        <v/>
      </c>
      <c r="AF255" s="25" t="n"/>
      <c r="AG255" s="28">
        <f>IF(AND($A255&lt;&gt;"",$K255&lt;&gt;"",$C255&lt;&gt;"Portfolio",$D255&lt;&gt;"Completed",$D255&lt;&gt;"Terminated"),1,0)</f>
        <v/>
      </c>
      <c r="AH255" s="28">
        <f>IF(AND($A255&lt;&gt;"",COUNTIF($A$6:$A$305,$A255)&gt;1),1,0)</f>
        <v/>
      </c>
      <c r="AI255" s="28">
        <f>IF(AND($A255&lt;&gt;"",$C255="Portfolio"),COUNTIFS($C$6:$C255,"Portfolio",$A$6:$A255,"&lt;&gt;"),"")</f>
        <v/>
      </c>
    </row>
    <row r="256">
      <c r="A256" s="25" t="n"/>
      <c r="B256" s="25" t="n"/>
      <c r="C256" s="25" t="n"/>
      <c r="D256" s="25" t="n"/>
      <c r="E256" s="25" t="n"/>
      <c r="F256" s="25" t="n"/>
      <c r="G256" s="25" t="n"/>
      <c r="H256" s="26" t="n"/>
      <c r="I256" s="26" t="n"/>
      <c r="J256" s="27" t="n"/>
      <c r="K256" s="27" t="n"/>
      <c r="L256" s="23" t="n"/>
      <c r="M256" s="28">
        <f>IF($A256="","",IF($D256="","Not read",IF($Q256=0,"Not counted",IF(MAX($X256,$Y256)=3,"■ Red",IF(MAX($X256,$Y256)=2,"◧ Amber",IF(MAX($X256,$Y256)=1,"□ On track","Not read"))))))</f>
        <v/>
      </c>
      <c r="N256" s="28">
        <f>IF(OR($A256="",$B256&lt;&gt;"Program"),"","■ "&amp;COUNTIFS($C$6:$C$305,$A256,$M$6:$M$305,"■ Red")&amp;" Red, ◧ "&amp;COUNTIFS($C$6:$C$305,$A256,$M$6:$M$305,"◧ Amber")&amp;" Amber")</f>
        <v/>
      </c>
      <c r="O256" s="29">
        <f>IF(OR($A256="",$E256=""),"",COUNTIFS($E$6:$E$305,$E256,$D$6:$D$305,"Active")+COUNTIFS($E$6:$E$305,$E256,$D$6:$D$305,"Paused"))</f>
        <v/>
      </c>
      <c r="P256" s="28">
        <f>IF($A256="","",IF($AE256=0,"○ Clear",IF($AA256=1,"△ No owner",IF($AC256=1,"△ Check Sits under",IF($AC256=2,"△ Outside the portfolio",IF($AB256=1,"△ No sponsor",IF($AH256=1,"△ Name used twice",IF($AG256=1,"△ Budget only counts under Portfolio","△ No variance note"))))))&amp;IF($AE256&gt;1," (+"&amp;($AE256-1)&amp;" more)","")))</f>
        <v/>
      </c>
      <c r="Q256" s="28">
        <f>IF(AND($A256&lt;&gt;"",OR($D256="Active",$D256="Paused")),1,0)</f>
        <v/>
      </c>
      <c r="R256" s="28">
        <f>IFERROR(INDEX($A$6:$A$305,MATCH(249,$S$6:$S$305,0)),"")</f>
        <v/>
      </c>
      <c r="S256" s="28">
        <f>IF(AND($A256&lt;&gt;"",$B256="Program"),COUNTIFS($B$6:$B256,"Program",$A$6:$A256,"&lt;&gt;"),"")</f>
        <v/>
      </c>
      <c r="T256" s="30">
        <f>IF(AND($A256&lt;&gt;"",$B256="Program"),SUMPRODUCT(MAX(($C$6:$C$305=$A256)*($B$6:$B$305="Project")*($D$6:$D$305&lt;&gt;"Proposed")*$I$6:$I$305)),0)</f>
        <v/>
      </c>
      <c r="U256" s="30">
        <f>IF($I256&lt;&gt;"",$I256,IF($T256&gt;0,$T256,""))</f>
        <v/>
      </c>
      <c r="V256" s="28">
        <f>IF(AND($A256&lt;&gt;"",$B256="Program"),SUMIFS($J$6:$J$305,$C$6:$C$305,$A256,$B$6:$B$305,"Project",$D$6:$D$305,"&lt;&gt;Proposed"),0)</f>
        <v/>
      </c>
      <c r="W256" s="28">
        <f>IF(AND($A256&lt;&gt;"",$B256="Program"),COUNTIFS($C$6:$C$305,$A256,$B$6:$B$305,"Project",$D$6:$D$305,"&lt;&gt;Proposed")-COUNTIFS($C$6:$C$305,$A256,$B$6:$B$305,"Project",$D$6:$D$305,"&lt;&gt;Proposed",$J$6:$J$305,"&gt;=0"),0)</f>
        <v/>
      </c>
      <c r="X256" s="28">
        <f>IF(OR($Q256=0,$H256="",$AF256="Sprint"),0,IF(AND($B256="Project",$H256&lt;TODAY()),3,IF($U256="",0,IF($U256&lt;=$H256,1,IF(NETWORKDAYS($H256,$U256)-1&gt;IF($B256="Program",Checks!$B$7,Checks!$B$6),3,2)))))</f>
        <v/>
      </c>
      <c r="Y256" s="28">
        <f>IF(OR($Q256=0,$K256="",$K256=0,$AF256="Sprint"),0,IF(AND($B256="Project",$J256=""),0,IF(IF($B256="Program",$V256,$J256)&gt;$K256*(1+Checks!$B$8),3,IF(IF($B256="Program",$V256,$J256)&gt;$K256,2,IF(AND($B256="Program",OR($W256&gt;0,$V256=0)),0,1)))))</f>
        <v/>
      </c>
      <c r="Z256" s="28">
        <f>IF($A256="",0,IF($C256="Portfolio",1,IF(AND($B256="Project",$C256&lt;&gt;"",$C256&lt;&gt;"Outside the portfolio"),IFERROR(IF(AND(INDEX($B$6:$B$305,MATCH($C256,$A$6:$A$305,0))="Program",INDEX($C$6:$C$305,MATCH($C256,$A$6:$A$305,0))="Portfolio"),1,0),0),0)))</f>
        <v/>
      </c>
      <c r="AA256" s="28">
        <f>IF(AND($A256&lt;&gt;"",$E256="",OR($Q256=1,$D256="Proposed")),1,0)</f>
        <v/>
      </c>
      <c r="AB256" s="28">
        <f>IF(AND($A256&lt;&gt;"",$B256="Program",$F256="",$Q256=1),1,0)</f>
        <v/>
      </c>
      <c r="AC256" s="28">
        <f>IF(OR($A256="",$D256="Completed",$D256="Terminated"),0,IF($C256="",1,IF($C256="Portfolio",0,IF($C256="Outside the portfolio",IF($Q256=1,2,0),IF($B256="Project",IF(IFERROR(INDEX($B$6:$B$305,MATCH($C256,$A$6:$A$305,0)),"")="Program",0,1),1)))))</f>
        <v/>
      </c>
      <c r="AD256" s="28">
        <f>IF(AND($A256&lt;&gt;"",OR($M256="■ Red",$M256="◧ Amber"),$L256=""),1,0)</f>
        <v/>
      </c>
      <c r="AE256" s="28">
        <f>$AA256+$AB256+IF($AC256&gt;0,1,0)+$AD256+$AG256+$AH256</f>
        <v/>
      </c>
      <c r="AF256" s="25" t="n"/>
      <c r="AG256" s="28">
        <f>IF(AND($A256&lt;&gt;"",$K256&lt;&gt;"",$C256&lt;&gt;"Portfolio",$D256&lt;&gt;"Completed",$D256&lt;&gt;"Terminated"),1,0)</f>
        <v/>
      </c>
      <c r="AH256" s="28">
        <f>IF(AND($A256&lt;&gt;"",COUNTIF($A$6:$A$305,$A256)&gt;1),1,0)</f>
        <v/>
      </c>
      <c r="AI256" s="28">
        <f>IF(AND($A256&lt;&gt;"",$C256="Portfolio"),COUNTIFS($C$6:$C256,"Portfolio",$A$6:$A256,"&lt;&gt;"),"")</f>
        <v/>
      </c>
    </row>
    <row r="257">
      <c r="A257" s="25" t="n"/>
      <c r="B257" s="25" t="n"/>
      <c r="C257" s="25" t="n"/>
      <c r="D257" s="25" t="n"/>
      <c r="E257" s="25" t="n"/>
      <c r="F257" s="25" t="n"/>
      <c r="G257" s="25" t="n"/>
      <c r="H257" s="26" t="n"/>
      <c r="I257" s="26" t="n"/>
      <c r="J257" s="27" t="n"/>
      <c r="K257" s="27" t="n"/>
      <c r="L257" s="23" t="n"/>
      <c r="M257" s="28">
        <f>IF($A257="","",IF($D257="","Not read",IF($Q257=0,"Not counted",IF(MAX($X257,$Y257)=3,"■ Red",IF(MAX($X257,$Y257)=2,"◧ Amber",IF(MAX($X257,$Y257)=1,"□ On track","Not read"))))))</f>
        <v/>
      </c>
      <c r="N257" s="28">
        <f>IF(OR($A257="",$B257&lt;&gt;"Program"),"","■ "&amp;COUNTIFS($C$6:$C$305,$A257,$M$6:$M$305,"■ Red")&amp;" Red, ◧ "&amp;COUNTIFS($C$6:$C$305,$A257,$M$6:$M$305,"◧ Amber")&amp;" Amber")</f>
        <v/>
      </c>
      <c r="O257" s="29">
        <f>IF(OR($A257="",$E257=""),"",COUNTIFS($E$6:$E$305,$E257,$D$6:$D$305,"Active")+COUNTIFS($E$6:$E$305,$E257,$D$6:$D$305,"Paused"))</f>
        <v/>
      </c>
      <c r="P257" s="28">
        <f>IF($A257="","",IF($AE257=0,"○ Clear",IF($AA257=1,"△ No owner",IF($AC257=1,"△ Check Sits under",IF($AC257=2,"△ Outside the portfolio",IF($AB257=1,"△ No sponsor",IF($AH257=1,"△ Name used twice",IF($AG257=1,"△ Budget only counts under Portfolio","△ No variance note"))))))&amp;IF($AE257&gt;1," (+"&amp;($AE257-1)&amp;" more)","")))</f>
        <v/>
      </c>
      <c r="Q257" s="28">
        <f>IF(AND($A257&lt;&gt;"",OR($D257="Active",$D257="Paused")),1,0)</f>
        <v/>
      </c>
      <c r="R257" s="28">
        <f>IFERROR(INDEX($A$6:$A$305,MATCH(250,$S$6:$S$305,0)),"")</f>
        <v/>
      </c>
      <c r="S257" s="28">
        <f>IF(AND($A257&lt;&gt;"",$B257="Program"),COUNTIFS($B$6:$B257,"Program",$A$6:$A257,"&lt;&gt;"),"")</f>
        <v/>
      </c>
      <c r="T257" s="30">
        <f>IF(AND($A257&lt;&gt;"",$B257="Program"),SUMPRODUCT(MAX(($C$6:$C$305=$A257)*($B$6:$B$305="Project")*($D$6:$D$305&lt;&gt;"Proposed")*$I$6:$I$305)),0)</f>
        <v/>
      </c>
      <c r="U257" s="30">
        <f>IF($I257&lt;&gt;"",$I257,IF($T257&gt;0,$T257,""))</f>
        <v/>
      </c>
      <c r="V257" s="28">
        <f>IF(AND($A257&lt;&gt;"",$B257="Program"),SUMIFS($J$6:$J$305,$C$6:$C$305,$A257,$B$6:$B$305,"Project",$D$6:$D$305,"&lt;&gt;Proposed"),0)</f>
        <v/>
      </c>
      <c r="W257" s="28">
        <f>IF(AND($A257&lt;&gt;"",$B257="Program"),COUNTIFS($C$6:$C$305,$A257,$B$6:$B$305,"Project",$D$6:$D$305,"&lt;&gt;Proposed")-COUNTIFS($C$6:$C$305,$A257,$B$6:$B$305,"Project",$D$6:$D$305,"&lt;&gt;Proposed",$J$6:$J$305,"&gt;=0"),0)</f>
        <v/>
      </c>
      <c r="X257" s="28">
        <f>IF(OR($Q257=0,$H257="",$AF257="Sprint"),0,IF(AND($B257="Project",$H257&lt;TODAY()),3,IF($U257="",0,IF($U257&lt;=$H257,1,IF(NETWORKDAYS($H257,$U257)-1&gt;IF($B257="Program",Checks!$B$7,Checks!$B$6),3,2)))))</f>
        <v/>
      </c>
      <c r="Y257" s="28">
        <f>IF(OR($Q257=0,$K257="",$K257=0,$AF257="Sprint"),0,IF(AND($B257="Project",$J257=""),0,IF(IF($B257="Program",$V257,$J257)&gt;$K257*(1+Checks!$B$8),3,IF(IF($B257="Program",$V257,$J257)&gt;$K257,2,IF(AND($B257="Program",OR($W257&gt;0,$V257=0)),0,1)))))</f>
        <v/>
      </c>
      <c r="Z257" s="28">
        <f>IF($A257="",0,IF($C257="Portfolio",1,IF(AND($B257="Project",$C257&lt;&gt;"",$C257&lt;&gt;"Outside the portfolio"),IFERROR(IF(AND(INDEX($B$6:$B$305,MATCH($C257,$A$6:$A$305,0))="Program",INDEX($C$6:$C$305,MATCH($C257,$A$6:$A$305,0))="Portfolio"),1,0),0),0)))</f>
        <v/>
      </c>
      <c r="AA257" s="28">
        <f>IF(AND($A257&lt;&gt;"",$E257="",OR($Q257=1,$D257="Proposed")),1,0)</f>
        <v/>
      </c>
      <c r="AB257" s="28">
        <f>IF(AND($A257&lt;&gt;"",$B257="Program",$F257="",$Q257=1),1,0)</f>
        <v/>
      </c>
      <c r="AC257" s="28">
        <f>IF(OR($A257="",$D257="Completed",$D257="Terminated"),0,IF($C257="",1,IF($C257="Portfolio",0,IF($C257="Outside the portfolio",IF($Q257=1,2,0),IF($B257="Project",IF(IFERROR(INDEX($B$6:$B$305,MATCH($C257,$A$6:$A$305,0)),"")="Program",0,1),1)))))</f>
        <v/>
      </c>
      <c r="AD257" s="28">
        <f>IF(AND($A257&lt;&gt;"",OR($M257="■ Red",$M257="◧ Amber"),$L257=""),1,0)</f>
        <v/>
      </c>
      <c r="AE257" s="28">
        <f>$AA257+$AB257+IF($AC257&gt;0,1,0)+$AD257+$AG257+$AH257</f>
        <v/>
      </c>
      <c r="AF257" s="25" t="n"/>
      <c r="AG257" s="28">
        <f>IF(AND($A257&lt;&gt;"",$K257&lt;&gt;"",$C257&lt;&gt;"Portfolio",$D257&lt;&gt;"Completed",$D257&lt;&gt;"Terminated"),1,0)</f>
        <v/>
      </c>
      <c r="AH257" s="28">
        <f>IF(AND($A257&lt;&gt;"",COUNTIF($A$6:$A$305,$A257)&gt;1),1,0)</f>
        <v/>
      </c>
      <c r="AI257" s="28">
        <f>IF(AND($A257&lt;&gt;"",$C257="Portfolio"),COUNTIFS($C$6:$C257,"Portfolio",$A$6:$A257,"&lt;&gt;"),"")</f>
        <v/>
      </c>
    </row>
    <row r="258">
      <c r="A258" s="25" t="n"/>
      <c r="B258" s="25" t="n"/>
      <c r="C258" s="25" t="n"/>
      <c r="D258" s="25" t="n"/>
      <c r="E258" s="25" t="n"/>
      <c r="F258" s="25" t="n"/>
      <c r="G258" s="25" t="n"/>
      <c r="H258" s="26" t="n"/>
      <c r="I258" s="26" t="n"/>
      <c r="J258" s="27" t="n"/>
      <c r="K258" s="27" t="n"/>
      <c r="L258" s="23" t="n"/>
      <c r="M258" s="28">
        <f>IF($A258="","",IF($D258="","Not read",IF($Q258=0,"Not counted",IF(MAX($X258,$Y258)=3,"■ Red",IF(MAX($X258,$Y258)=2,"◧ Amber",IF(MAX($X258,$Y258)=1,"□ On track","Not read"))))))</f>
        <v/>
      </c>
      <c r="N258" s="28">
        <f>IF(OR($A258="",$B258&lt;&gt;"Program"),"","■ "&amp;COUNTIFS($C$6:$C$305,$A258,$M$6:$M$305,"■ Red")&amp;" Red, ◧ "&amp;COUNTIFS($C$6:$C$305,$A258,$M$6:$M$305,"◧ Amber")&amp;" Amber")</f>
        <v/>
      </c>
      <c r="O258" s="29">
        <f>IF(OR($A258="",$E258=""),"",COUNTIFS($E$6:$E$305,$E258,$D$6:$D$305,"Active")+COUNTIFS($E$6:$E$305,$E258,$D$6:$D$305,"Paused"))</f>
        <v/>
      </c>
      <c r="P258" s="28">
        <f>IF($A258="","",IF($AE258=0,"○ Clear",IF($AA258=1,"△ No owner",IF($AC258=1,"△ Check Sits under",IF($AC258=2,"△ Outside the portfolio",IF($AB258=1,"△ No sponsor",IF($AH258=1,"△ Name used twice",IF($AG258=1,"△ Budget only counts under Portfolio","△ No variance note"))))))&amp;IF($AE258&gt;1," (+"&amp;($AE258-1)&amp;" more)","")))</f>
        <v/>
      </c>
      <c r="Q258" s="28">
        <f>IF(AND($A258&lt;&gt;"",OR($D258="Active",$D258="Paused")),1,0)</f>
        <v/>
      </c>
      <c r="R258" s="28">
        <f>IFERROR(INDEX($A$6:$A$305,MATCH(251,$S$6:$S$305,0)),"")</f>
        <v/>
      </c>
      <c r="S258" s="28">
        <f>IF(AND($A258&lt;&gt;"",$B258="Program"),COUNTIFS($B$6:$B258,"Program",$A$6:$A258,"&lt;&gt;"),"")</f>
        <v/>
      </c>
      <c r="T258" s="30">
        <f>IF(AND($A258&lt;&gt;"",$B258="Program"),SUMPRODUCT(MAX(($C$6:$C$305=$A258)*($B$6:$B$305="Project")*($D$6:$D$305&lt;&gt;"Proposed")*$I$6:$I$305)),0)</f>
        <v/>
      </c>
      <c r="U258" s="30">
        <f>IF($I258&lt;&gt;"",$I258,IF($T258&gt;0,$T258,""))</f>
        <v/>
      </c>
      <c r="V258" s="28">
        <f>IF(AND($A258&lt;&gt;"",$B258="Program"),SUMIFS($J$6:$J$305,$C$6:$C$305,$A258,$B$6:$B$305,"Project",$D$6:$D$305,"&lt;&gt;Proposed"),0)</f>
        <v/>
      </c>
      <c r="W258" s="28">
        <f>IF(AND($A258&lt;&gt;"",$B258="Program"),COUNTIFS($C$6:$C$305,$A258,$B$6:$B$305,"Project",$D$6:$D$305,"&lt;&gt;Proposed")-COUNTIFS($C$6:$C$305,$A258,$B$6:$B$305,"Project",$D$6:$D$305,"&lt;&gt;Proposed",$J$6:$J$305,"&gt;=0"),0)</f>
        <v/>
      </c>
      <c r="X258" s="28">
        <f>IF(OR($Q258=0,$H258="",$AF258="Sprint"),0,IF(AND($B258="Project",$H258&lt;TODAY()),3,IF($U258="",0,IF($U258&lt;=$H258,1,IF(NETWORKDAYS($H258,$U258)-1&gt;IF($B258="Program",Checks!$B$7,Checks!$B$6),3,2)))))</f>
        <v/>
      </c>
      <c r="Y258" s="28">
        <f>IF(OR($Q258=0,$K258="",$K258=0,$AF258="Sprint"),0,IF(AND($B258="Project",$J258=""),0,IF(IF($B258="Program",$V258,$J258)&gt;$K258*(1+Checks!$B$8),3,IF(IF($B258="Program",$V258,$J258)&gt;$K258,2,IF(AND($B258="Program",OR($W258&gt;0,$V258=0)),0,1)))))</f>
        <v/>
      </c>
      <c r="Z258" s="28">
        <f>IF($A258="",0,IF($C258="Portfolio",1,IF(AND($B258="Project",$C258&lt;&gt;"",$C258&lt;&gt;"Outside the portfolio"),IFERROR(IF(AND(INDEX($B$6:$B$305,MATCH($C258,$A$6:$A$305,0))="Program",INDEX($C$6:$C$305,MATCH($C258,$A$6:$A$305,0))="Portfolio"),1,0),0),0)))</f>
        <v/>
      </c>
      <c r="AA258" s="28">
        <f>IF(AND($A258&lt;&gt;"",$E258="",OR($Q258=1,$D258="Proposed")),1,0)</f>
        <v/>
      </c>
      <c r="AB258" s="28">
        <f>IF(AND($A258&lt;&gt;"",$B258="Program",$F258="",$Q258=1),1,0)</f>
        <v/>
      </c>
      <c r="AC258" s="28">
        <f>IF(OR($A258="",$D258="Completed",$D258="Terminated"),0,IF($C258="",1,IF($C258="Portfolio",0,IF($C258="Outside the portfolio",IF($Q258=1,2,0),IF($B258="Project",IF(IFERROR(INDEX($B$6:$B$305,MATCH($C258,$A$6:$A$305,0)),"")="Program",0,1),1)))))</f>
        <v/>
      </c>
      <c r="AD258" s="28">
        <f>IF(AND($A258&lt;&gt;"",OR($M258="■ Red",$M258="◧ Amber"),$L258=""),1,0)</f>
        <v/>
      </c>
      <c r="AE258" s="28">
        <f>$AA258+$AB258+IF($AC258&gt;0,1,0)+$AD258+$AG258+$AH258</f>
        <v/>
      </c>
      <c r="AF258" s="25" t="n"/>
      <c r="AG258" s="28">
        <f>IF(AND($A258&lt;&gt;"",$K258&lt;&gt;"",$C258&lt;&gt;"Portfolio",$D258&lt;&gt;"Completed",$D258&lt;&gt;"Terminated"),1,0)</f>
        <v/>
      </c>
      <c r="AH258" s="28">
        <f>IF(AND($A258&lt;&gt;"",COUNTIF($A$6:$A$305,$A258)&gt;1),1,0)</f>
        <v/>
      </c>
      <c r="AI258" s="28">
        <f>IF(AND($A258&lt;&gt;"",$C258="Portfolio"),COUNTIFS($C$6:$C258,"Portfolio",$A$6:$A258,"&lt;&gt;"),"")</f>
        <v/>
      </c>
    </row>
    <row r="259">
      <c r="A259" s="25" t="n"/>
      <c r="B259" s="25" t="n"/>
      <c r="C259" s="25" t="n"/>
      <c r="D259" s="25" t="n"/>
      <c r="E259" s="25" t="n"/>
      <c r="F259" s="25" t="n"/>
      <c r="G259" s="25" t="n"/>
      <c r="H259" s="26" t="n"/>
      <c r="I259" s="26" t="n"/>
      <c r="J259" s="27" t="n"/>
      <c r="K259" s="27" t="n"/>
      <c r="L259" s="23" t="n"/>
      <c r="M259" s="28">
        <f>IF($A259="","",IF($D259="","Not read",IF($Q259=0,"Not counted",IF(MAX($X259,$Y259)=3,"■ Red",IF(MAX($X259,$Y259)=2,"◧ Amber",IF(MAX($X259,$Y259)=1,"□ On track","Not read"))))))</f>
        <v/>
      </c>
      <c r="N259" s="28">
        <f>IF(OR($A259="",$B259&lt;&gt;"Program"),"","■ "&amp;COUNTIFS($C$6:$C$305,$A259,$M$6:$M$305,"■ Red")&amp;" Red, ◧ "&amp;COUNTIFS($C$6:$C$305,$A259,$M$6:$M$305,"◧ Amber")&amp;" Amber")</f>
        <v/>
      </c>
      <c r="O259" s="29">
        <f>IF(OR($A259="",$E259=""),"",COUNTIFS($E$6:$E$305,$E259,$D$6:$D$305,"Active")+COUNTIFS($E$6:$E$305,$E259,$D$6:$D$305,"Paused"))</f>
        <v/>
      </c>
      <c r="P259" s="28">
        <f>IF($A259="","",IF($AE259=0,"○ Clear",IF($AA259=1,"△ No owner",IF($AC259=1,"△ Check Sits under",IF($AC259=2,"△ Outside the portfolio",IF($AB259=1,"△ No sponsor",IF($AH259=1,"△ Name used twice",IF($AG259=1,"△ Budget only counts under Portfolio","△ No variance note"))))))&amp;IF($AE259&gt;1," (+"&amp;($AE259-1)&amp;" more)","")))</f>
        <v/>
      </c>
      <c r="Q259" s="28">
        <f>IF(AND($A259&lt;&gt;"",OR($D259="Active",$D259="Paused")),1,0)</f>
        <v/>
      </c>
      <c r="R259" s="28">
        <f>IFERROR(INDEX($A$6:$A$305,MATCH(252,$S$6:$S$305,0)),"")</f>
        <v/>
      </c>
      <c r="S259" s="28">
        <f>IF(AND($A259&lt;&gt;"",$B259="Program"),COUNTIFS($B$6:$B259,"Program",$A$6:$A259,"&lt;&gt;"),"")</f>
        <v/>
      </c>
      <c r="T259" s="30">
        <f>IF(AND($A259&lt;&gt;"",$B259="Program"),SUMPRODUCT(MAX(($C$6:$C$305=$A259)*($B$6:$B$305="Project")*($D$6:$D$305&lt;&gt;"Proposed")*$I$6:$I$305)),0)</f>
        <v/>
      </c>
      <c r="U259" s="30">
        <f>IF($I259&lt;&gt;"",$I259,IF($T259&gt;0,$T259,""))</f>
        <v/>
      </c>
      <c r="V259" s="28">
        <f>IF(AND($A259&lt;&gt;"",$B259="Program"),SUMIFS($J$6:$J$305,$C$6:$C$305,$A259,$B$6:$B$305,"Project",$D$6:$D$305,"&lt;&gt;Proposed"),0)</f>
        <v/>
      </c>
      <c r="W259" s="28">
        <f>IF(AND($A259&lt;&gt;"",$B259="Program"),COUNTIFS($C$6:$C$305,$A259,$B$6:$B$305,"Project",$D$6:$D$305,"&lt;&gt;Proposed")-COUNTIFS($C$6:$C$305,$A259,$B$6:$B$305,"Project",$D$6:$D$305,"&lt;&gt;Proposed",$J$6:$J$305,"&gt;=0"),0)</f>
        <v/>
      </c>
      <c r="X259" s="28">
        <f>IF(OR($Q259=0,$H259="",$AF259="Sprint"),0,IF(AND($B259="Project",$H259&lt;TODAY()),3,IF($U259="",0,IF($U259&lt;=$H259,1,IF(NETWORKDAYS($H259,$U259)-1&gt;IF($B259="Program",Checks!$B$7,Checks!$B$6),3,2)))))</f>
        <v/>
      </c>
      <c r="Y259" s="28">
        <f>IF(OR($Q259=0,$K259="",$K259=0,$AF259="Sprint"),0,IF(AND($B259="Project",$J259=""),0,IF(IF($B259="Program",$V259,$J259)&gt;$K259*(1+Checks!$B$8),3,IF(IF($B259="Program",$V259,$J259)&gt;$K259,2,IF(AND($B259="Program",OR($W259&gt;0,$V259=0)),0,1)))))</f>
        <v/>
      </c>
      <c r="Z259" s="28">
        <f>IF($A259="",0,IF($C259="Portfolio",1,IF(AND($B259="Project",$C259&lt;&gt;"",$C259&lt;&gt;"Outside the portfolio"),IFERROR(IF(AND(INDEX($B$6:$B$305,MATCH($C259,$A$6:$A$305,0))="Program",INDEX($C$6:$C$305,MATCH($C259,$A$6:$A$305,0))="Portfolio"),1,0),0),0)))</f>
        <v/>
      </c>
      <c r="AA259" s="28">
        <f>IF(AND($A259&lt;&gt;"",$E259="",OR($Q259=1,$D259="Proposed")),1,0)</f>
        <v/>
      </c>
      <c r="AB259" s="28">
        <f>IF(AND($A259&lt;&gt;"",$B259="Program",$F259="",$Q259=1),1,0)</f>
        <v/>
      </c>
      <c r="AC259" s="28">
        <f>IF(OR($A259="",$D259="Completed",$D259="Terminated"),0,IF($C259="",1,IF($C259="Portfolio",0,IF($C259="Outside the portfolio",IF($Q259=1,2,0),IF($B259="Project",IF(IFERROR(INDEX($B$6:$B$305,MATCH($C259,$A$6:$A$305,0)),"")="Program",0,1),1)))))</f>
        <v/>
      </c>
      <c r="AD259" s="28">
        <f>IF(AND($A259&lt;&gt;"",OR($M259="■ Red",$M259="◧ Amber"),$L259=""),1,0)</f>
        <v/>
      </c>
      <c r="AE259" s="28">
        <f>$AA259+$AB259+IF($AC259&gt;0,1,0)+$AD259+$AG259+$AH259</f>
        <v/>
      </c>
      <c r="AF259" s="25" t="n"/>
      <c r="AG259" s="28">
        <f>IF(AND($A259&lt;&gt;"",$K259&lt;&gt;"",$C259&lt;&gt;"Portfolio",$D259&lt;&gt;"Completed",$D259&lt;&gt;"Terminated"),1,0)</f>
        <v/>
      </c>
      <c r="AH259" s="28">
        <f>IF(AND($A259&lt;&gt;"",COUNTIF($A$6:$A$305,$A259)&gt;1),1,0)</f>
        <v/>
      </c>
      <c r="AI259" s="28">
        <f>IF(AND($A259&lt;&gt;"",$C259="Portfolio"),COUNTIFS($C$6:$C259,"Portfolio",$A$6:$A259,"&lt;&gt;"),"")</f>
        <v/>
      </c>
    </row>
    <row r="260">
      <c r="A260" s="25" t="n"/>
      <c r="B260" s="25" t="n"/>
      <c r="C260" s="25" t="n"/>
      <c r="D260" s="25" t="n"/>
      <c r="E260" s="25" t="n"/>
      <c r="F260" s="25" t="n"/>
      <c r="G260" s="25" t="n"/>
      <c r="H260" s="26" t="n"/>
      <c r="I260" s="26" t="n"/>
      <c r="J260" s="27" t="n"/>
      <c r="K260" s="27" t="n"/>
      <c r="L260" s="23" t="n"/>
      <c r="M260" s="28">
        <f>IF($A260="","",IF($D260="","Not read",IF($Q260=0,"Not counted",IF(MAX($X260,$Y260)=3,"■ Red",IF(MAX($X260,$Y260)=2,"◧ Amber",IF(MAX($X260,$Y260)=1,"□ On track","Not read"))))))</f>
        <v/>
      </c>
      <c r="N260" s="28">
        <f>IF(OR($A260="",$B260&lt;&gt;"Program"),"","■ "&amp;COUNTIFS($C$6:$C$305,$A260,$M$6:$M$305,"■ Red")&amp;" Red, ◧ "&amp;COUNTIFS($C$6:$C$305,$A260,$M$6:$M$305,"◧ Amber")&amp;" Amber")</f>
        <v/>
      </c>
      <c r="O260" s="29">
        <f>IF(OR($A260="",$E260=""),"",COUNTIFS($E$6:$E$305,$E260,$D$6:$D$305,"Active")+COUNTIFS($E$6:$E$305,$E260,$D$6:$D$305,"Paused"))</f>
        <v/>
      </c>
      <c r="P260" s="28">
        <f>IF($A260="","",IF($AE260=0,"○ Clear",IF($AA260=1,"△ No owner",IF($AC260=1,"△ Check Sits under",IF($AC260=2,"△ Outside the portfolio",IF($AB260=1,"△ No sponsor",IF($AH260=1,"△ Name used twice",IF($AG260=1,"△ Budget only counts under Portfolio","△ No variance note"))))))&amp;IF($AE260&gt;1," (+"&amp;($AE260-1)&amp;" more)","")))</f>
        <v/>
      </c>
      <c r="Q260" s="28">
        <f>IF(AND($A260&lt;&gt;"",OR($D260="Active",$D260="Paused")),1,0)</f>
        <v/>
      </c>
      <c r="R260" s="28">
        <f>IFERROR(INDEX($A$6:$A$305,MATCH(253,$S$6:$S$305,0)),"")</f>
        <v/>
      </c>
      <c r="S260" s="28">
        <f>IF(AND($A260&lt;&gt;"",$B260="Program"),COUNTIFS($B$6:$B260,"Program",$A$6:$A260,"&lt;&gt;"),"")</f>
        <v/>
      </c>
      <c r="T260" s="30">
        <f>IF(AND($A260&lt;&gt;"",$B260="Program"),SUMPRODUCT(MAX(($C$6:$C$305=$A260)*($B$6:$B$305="Project")*($D$6:$D$305&lt;&gt;"Proposed")*$I$6:$I$305)),0)</f>
        <v/>
      </c>
      <c r="U260" s="30">
        <f>IF($I260&lt;&gt;"",$I260,IF($T260&gt;0,$T260,""))</f>
        <v/>
      </c>
      <c r="V260" s="28">
        <f>IF(AND($A260&lt;&gt;"",$B260="Program"),SUMIFS($J$6:$J$305,$C$6:$C$305,$A260,$B$6:$B$305,"Project",$D$6:$D$305,"&lt;&gt;Proposed"),0)</f>
        <v/>
      </c>
      <c r="W260" s="28">
        <f>IF(AND($A260&lt;&gt;"",$B260="Program"),COUNTIFS($C$6:$C$305,$A260,$B$6:$B$305,"Project",$D$6:$D$305,"&lt;&gt;Proposed")-COUNTIFS($C$6:$C$305,$A260,$B$6:$B$305,"Project",$D$6:$D$305,"&lt;&gt;Proposed",$J$6:$J$305,"&gt;=0"),0)</f>
        <v/>
      </c>
      <c r="X260" s="28">
        <f>IF(OR($Q260=0,$H260="",$AF260="Sprint"),0,IF(AND($B260="Project",$H260&lt;TODAY()),3,IF($U260="",0,IF($U260&lt;=$H260,1,IF(NETWORKDAYS($H260,$U260)-1&gt;IF($B260="Program",Checks!$B$7,Checks!$B$6),3,2)))))</f>
        <v/>
      </c>
      <c r="Y260" s="28">
        <f>IF(OR($Q260=0,$K260="",$K260=0,$AF260="Sprint"),0,IF(AND($B260="Project",$J260=""),0,IF(IF($B260="Program",$V260,$J260)&gt;$K260*(1+Checks!$B$8),3,IF(IF($B260="Program",$V260,$J260)&gt;$K260,2,IF(AND($B260="Program",OR($W260&gt;0,$V260=0)),0,1)))))</f>
        <v/>
      </c>
      <c r="Z260" s="28">
        <f>IF($A260="",0,IF($C260="Portfolio",1,IF(AND($B260="Project",$C260&lt;&gt;"",$C260&lt;&gt;"Outside the portfolio"),IFERROR(IF(AND(INDEX($B$6:$B$305,MATCH($C260,$A$6:$A$305,0))="Program",INDEX($C$6:$C$305,MATCH($C260,$A$6:$A$305,0))="Portfolio"),1,0),0),0)))</f>
        <v/>
      </c>
      <c r="AA260" s="28">
        <f>IF(AND($A260&lt;&gt;"",$E260="",OR($Q260=1,$D260="Proposed")),1,0)</f>
        <v/>
      </c>
      <c r="AB260" s="28">
        <f>IF(AND($A260&lt;&gt;"",$B260="Program",$F260="",$Q260=1),1,0)</f>
        <v/>
      </c>
      <c r="AC260" s="28">
        <f>IF(OR($A260="",$D260="Completed",$D260="Terminated"),0,IF($C260="",1,IF($C260="Portfolio",0,IF($C260="Outside the portfolio",IF($Q260=1,2,0),IF($B260="Project",IF(IFERROR(INDEX($B$6:$B$305,MATCH($C260,$A$6:$A$305,0)),"")="Program",0,1),1)))))</f>
        <v/>
      </c>
      <c r="AD260" s="28">
        <f>IF(AND($A260&lt;&gt;"",OR($M260="■ Red",$M260="◧ Amber"),$L260=""),1,0)</f>
        <v/>
      </c>
      <c r="AE260" s="28">
        <f>$AA260+$AB260+IF($AC260&gt;0,1,0)+$AD260+$AG260+$AH260</f>
        <v/>
      </c>
      <c r="AF260" s="25" t="n"/>
      <c r="AG260" s="28">
        <f>IF(AND($A260&lt;&gt;"",$K260&lt;&gt;"",$C260&lt;&gt;"Portfolio",$D260&lt;&gt;"Completed",$D260&lt;&gt;"Terminated"),1,0)</f>
        <v/>
      </c>
      <c r="AH260" s="28">
        <f>IF(AND($A260&lt;&gt;"",COUNTIF($A$6:$A$305,$A260)&gt;1),1,0)</f>
        <v/>
      </c>
      <c r="AI260" s="28">
        <f>IF(AND($A260&lt;&gt;"",$C260="Portfolio"),COUNTIFS($C$6:$C260,"Portfolio",$A$6:$A260,"&lt;&gt;"),"")</f>
        <v/>
      </c>
    </row>
    <row r="261">
      <c r="A261" s="25" t="n"/>
      <c r="B261" s="25" t="n"/>
      <c r="C261" s="25" t="n"/>
      <c r="D261" s="25" t="n"/>
      <c r="E261" s="25" t="n"/>
      <c r="F261" s="25" t="n"/>
      <c r="G261" s="25" t="n"/>
      <c r="H261" s="26" t="n"/>
      <c r="I261" s="26" t="n"/>
      <c r="J261" s="27" t="n"/>
      <c r="K261" s="27" t="n"/>
      <c r="L261" s="23" t="n"/>
      <c r="M261" s="28">
        <f>IF($A261="","",IF($D261="","Not read",IF($Q261=0,"Not counted",IF(MAX($X261,$Y261)=3,"■ Red",IF(MAX($X261,$Y261)=2,"◧ Amber",IF(MAX($X261,$Y261)=1,"□ On track","Not read"))))))</f>
        <v/>
      </c>
      <c r="N261" s="28">
        <f>IF(OR($A261="",$B261&lt;&gt;"Program"),"","■ "&amp;COUNTIFS($C$6:$C$305,$A261,$M$6:$M$305,"■ Red")&amp;" Red, ◧ "&amp;COUNTIFS($C$6:$C$305,$A261,$M$6:$M$305,"◧ Amber")&amp;" Amber")</f>
        <v/>
      </c>
      <c r="O261" s="29">
        <f>IF(OR($A261="",$E261=""),"",COUNTIFS($E$6:$E$305,$E261,$D$6:$D$305,"Active")+COUNTIFS($E$6:$E$305,$E261,$D$6:$D$305,"Paused"))</f>
        <v/>
      </c>
      <c r="P261" s="28">
        <f>IF($A261="","",IF($AE261=0,"○ Clear",IF($AA261=1,"△ No owner",IF($AC261=1,"△ Check Sits under",IF($AC261=2,"△ Outside the portfolio",IF($AB261=1,"△ No sponsor",IF($AH261=1,"△ Name used twice",IF($AG261=1,"△ Budget only counts under Portfolio","△ No variance note"))))))&amp;IF($AE261&gt;1," (+"&amp;($AE261-1)&amp;" more)","")))</f>
        <v/>
      </c>
      <c r="Q261" s="28">
        <f>IF(AND($A261&lt;&gt;"",OR($D261="Active",$D261="Paused")),1,0)</f>
        <v/>
      </c>
      <c r="R261" s="28">
        <f>IFERROR(INDEX($A$6:$A$305,MATCH(254,$S$6:$S$305,0)),"")</f>
        <v/>
      </c>
      <c r="S261" s="28">
        <f>IF(AND($A261&lt;&gt;"",$B261="Program"),COUNTIFS($B$6:$B261,"Program",$A$6:$A261,"&lt;&gt;"),"")</f>
        <v/>
      </c>
      <c r="T261" s="30">
        <f>IF(AND($A261&lt;&gt;"",$B261="Program"),SUMPRODUCT(MAX(($C$6:$C$305=$A261)*($B$6:$B$305="Project")*($D$6:$D$305&lt;&gt;"Proposed")*$I$6:$I$305)),0)</f>
        <v/>
      </c>
      <c r="U261" s="30">
        <f>IF($I261&lt;&gt;"",$I261,IF($T261&gt;0,$T261,""))</f>
        <v/>
      </c>
      <c r="V261" s="28">
        <f>IF(AND($A261&lt;&gt;"",$B261="Program"),SUMIFS($J$6:$J$305,$C$6:$C$305,$A261,$B$6:$B$305,"Project",$D$6:$D$305,"&lt;&gt;Proposed"),0)</f>
        <v/>
      </c>
      <c r="W261" s="28">
        <f>IF(AND($A261&lt;&gt;"",$B261="Program"),COUNTIFS($C$6:$C$305,$A261,$B$6:$B$305,"Project",$D$6:$D$305,"&lt;&gt;Proposed")-COUNTIFS($C$6:$C$305,$A261,$B$6:$B$305,"Project",$D$6:$D$305,"&lt;&gt;Proposed",$J$6:$J$305,"&gt;=0"),0)</f>
        <v/>
      </c>
      <c r="X261" s="28">
        <f>IF(OR($Q261=0,$H261="",$AF261="Sprint"),0,IF(AND($B261="Project",$H261&lt;TODAY()),3,IF($U261="",0,IF($U261&lt;=$H261,1,IF(NETWORKDAYS($H261,$U261)-1&gt;IF($B261="Program",Checks!$B$7,Checks!$B$6),3,2)))))</f>
        <v/>
      </c>
      <c r="Y261" s="28">
        <f>IF(OR($Q261=0,$K261="",$K261=0,$AF261="Sprint"),0,IF(AND($B261="Project",$J261=""),0,IF(IF($B261="Program",$V261,$J261)&gt;$K261*(1+Checks!$B$8),3,IF(IF($B261="Program",$V261,$J261)&gt;$K261,2,IF(AND($B261="Program",OR($W261&gt;0,$V261=0)),0,1)))))</f>
        <v/>
      </c>
      <c r="Z261" s="28">
        <f>IF($A261="",0,IF($C261="Portfolio",1,IF(AND($B261="Project",$C261&lt;&gt;"",$C261&lt;&gt;"Outside the portfolio"),IFERROR(IF(AND(INDEX($B$6:$B$305,MATCH($C261,$A$6:$A$305,0))="Program",INDEX($C$6:$C$305,MATCH($C261,$A$6:$A$305,0))="Portfolio"),1,0),0),0)))</f>
        <v/>
      </c>
      <c r="AA261" s="28">
        <f>IF(AND($A261&lt;&gt;"",$E261="",OR($Q261=1,$D261="Proposed")),1,0)</f>
        <v/>
      </c>
      <c r="AB261" s="28">
        <f>IF(AND($A261&lt;&gt;"",$B261="Program",$F261="",$Q261=1),1,0)</f>
        <v/>
      </c>
      <c r="AC261" s="28">
        <f>IF(OR($A261="",$D261="Completed",$D261="Terminated"),0,IF($C261="",1,IF($C261="Portfolio",0,IF($C261="Outside the portfolio",IF($Q261=1,2,0),IF($B261="Project",IF(IFERROR(INDEX($B$6:$B$305,MATCH($C261,$A$6:$A$305,0)),"")="Program",0,1),1)))))</f>
        <v/>
      </c>
      <c r="AD261" s="28">
        <f>IF(AND($A261&lt;&gt;"",OR($M261="■ Red",$M261="◧ Amber"),$L261=""),1,0)</f>
        <v/>
      </c>
      <c r="AE261" s="28">
        <f>$AA261+$AB261+IF($AC261&gt;0,1,0)+$AD261+$AG261+$AH261</f>
        <v/>
      </c>
      <c r="AF261" s="25" t="n"/>
      <c r="AG261" s="28">
        <f>IF(AND($A261&lt;&gt;"",$K261&lt;&gt;"",$C261&lt;&gt;"Portfolio",$D261&lt;&gt;"Completed",$D261&lt;&gt;"Terminated"),1,0)</f>
        <v/>
      </c>
      <c r="AH261" s="28">
        <f>IF(AND($A261&lt;&gt;"",COUNTIF($A$6:$A$305,$A261)&gt;1),1,0)</f>
        <v/>
      </c>
      <c r="AI261" s="28">
        <f>IF(AND($A261&lt;&gt;"",$C261="Portfolio"),COUNTIFS($C$6:$C261,"Portfolio",$A$6:$A261,"&lt;&gt;"),"")</f>
        <v/>
      </c>
    </row>
    <row r="262">
      <c r="A262" s="25" t="n"/>
      <c r="B262" s="25" t="n"/>
      <c r="C262" s="25" t="n"/>
      <c r="D262" s="25" t="n"/>
      <c r="E262" s="25" t="n"/>
      <c r="F262" s="25" t="n"/>
      <c r="G262" s="25" t="n"/>
      <c r="H262" s="26" t="n"/>
      <c r="I262" s="26" t="n"/>
      <c r="J262" s="27" t="n"/>
      <c r="K262" s="27" t="n"/>
      <c r="L262" s="23" t="n"/>
      <c r="M262" s="28">
        <f>IF($A262="","",IF($D262="","Not read",IF($Q262=0,"Not counted",IF(MAX($X262,$Y262)=3,"■ Red",IF(MAX($X262,$Y262)=2,"◧ Amber",IF(MAX($X262,$Y262)=1,"□ On track","Not read"))))))</f>
        <v/>
      </c>
      <c r="N262" s="28">
        <f>IF(OR($A262="",$B262&lt;&gt;"Program"),"","■ "&amp;COUNTIFS($C$6:$C$305,$A262,$M$6:$M$305,"■ Red")&amp;" Red, ◧ "&amp;COUNTIFS($C$6:$C$305,$A262,$M$6:$M$305,"◧ Amber")&amp;" Amber")</f>
        <v/>
      </c>
      <c r="O262" s="29">
        <f>IF(OR($A262="",$E262=""),"",COUNTIFS($E$6:$E$305,$E262,$D$6:$D$305,"Active")+COUNTIFS($E$6:$E$305,$E262,$D$6:$D$305,"Paused"))</f>
        <v/>
      </c>
      <c r="P262" s="28">
        <f>IF($A262="","",IF($AE262=0,"○ Clear",IF($AA262=1,"△ No owner",IF($AC262=1,"△ Check Sits under",IF($AC262=2,"△ Outside the portfolio",IF($AB262=1,"△ No sponsor",IF($AH262=1,"△ Name used twice",IF($AG262=1,"△ Budget only counts under Portfolio","△ No variance note"))))))&amp;IF($AE262&gt;1," (+"&amp;($AE262-1)&amp;" more)","")))</f>
        <v/>
      </c>
      <c r="Q262" s="28">
        <f>IF(AND($A262&lt;&gt;"",OR($D262="Active",$D262="Paused")),1,0)</f>
        <v/>
      </c>
      <c r="R262" s="28">
        <f>IFERROR(INDEX($A$6:$A$305,MATCH(255,$S$6:$S$305,0)),"")</f>
        <v/>
      </c>
      <c r="S262" s="28">
        <f>IF(AND($A262&lt;&gt;"",$B262="Program"),COUNTIFS($B$6:$B262,"Program",$A$6:$A262,"&lt;&gt;"),"")</f>
        <v/>
      </c>
      <c r="T262" s="30">
        <f>IF(AND($A262&lt;&gt;"",$B262="Program"),SUMPRODUCT(MAX(($C$6:$C$305=$A262)*($B$6:$B$305="Project")*($D$6:$D$305&lt;&gt;"Proposed")*$I$6:$I$305)),0)</f>
        <v/>
      </c>
      <c r="U262" s="30">
        <f>IF($I262&lt;&gt;"",$I262,IF($T262&gt;0,$T262,""))</f>
        <v/>
      </c>
      <c r="V262" s="28">
        <f>IF(AND($A262&lt;&gt;"",$B262="Program"),SUMIFS($J$6:$J$305,$C$6:$C$305,$A262,$B$6:$B$305,"Project",$D$6:$D$305,"&lt;&gt;Proposed"),0)</f>
        <v/>
      </c>
      <c r="W262" s="28">
        <f>IF(AND($A262&lt;&gt;"",$B262="Program"),COUNTIFS($C$6:$C$305,$A262,$B$6:$B$305,"Project",$D$6:$D$305,"&lt;&gt;Proposed")-COUNTIFS($C$6:$C$305,$A262,$B$6:$B$305,"Project",$D$6:$D$305,"&lt;&gt;Proposed",$J$6:$J$305,"&gt;=0"),0)</f>
        <v/>
      </c>
      <c r="X262" s="28">
        <f>IF(OR($Q262=0,$H262="",$AF262="Sprint"),0,IF(AND($B262="Project",$H262&lt;TODAY()),3,IF($U262="",0,IF($U262&lt;=$H262,1,IF(NETWORKDAYS($H262,$U262)-1&gt;IF($B262="Program",Checks!$B$7,Checks!$B$6),3,2)))))</f>
        <v/>
      </c>
      <c r="Y262" s="28">
        <f>IF(OR($Q262=0,$K262="",$K262=0,$AF262="Sprint"),0,IF(AND($B262="Project",$J262=""),0,IF(IF($B262="Program",$V262,$J262)&gt;$K262*(1+Checks!$B$8),3,IF(IF($B262="Program",$V262,$J262)&gt;$K262,2,IF(AND($B262="Program",OR($W262&gt;0,$V262=0)),0,1)))))</f>
        <v/>
      </c>
      <c r="Z262" s="28">
        <f>IF($A262="",0,IF($C262="Portfolio",1,IF(AND($B262="Project",$C262&lt;&gt;"",$C262&lt;&gt;"Outside the portfolio"),IFERROR(IF(AND(INDEX($B$6:$B$305,MATCH($C262,$A$6:$A$305,0))="Program",INDEX($C$6:$C$305,MATCH($C262,$A$6:$A$305,0))="Portfolio"),1,0),0),0)))</f>
        <v/>
      </c>
      <c r="AA262" s="28">
        <f>IF(AND($A262&lt;&gt;"",$E262="",OR($Q262=1,$D262="Proposed")),1,0)</f>
        <v/>
      </c>
      <c r="AB262" s="28">
        <f>IF(AND($A262&lt;&gt;"",$B262="Program",$F262="",$Q262=1),1,0)</f>
        <v/>
      </c>
      <c r="AC262" s="28">
        <f>IF(OR($A262="",$D262="Completed",$D262="Terminated"),0,IF($C262="",1,IF($C262="Portfolio",0,IF($C262="Outside the portfolio",IF($Q262=1,2,0),IF($B262="Project",IF(IFERROR(INDEX($B$6:$B$305,MATCH($C262,$A$6:$A$305,0)),"")="Program",0,1),1)))))</f>
        <v/>
      </c>
      <c r="AD262" s="28">
        <f>IF(AND($A262&lt;&gt;"",OR($M262="■ Red",$M262="◧ Amber"),$L262=""),1,0)</f>
        <v/>
      </c>
      <c r="AE262" s="28">
        <f>$AA262+$AB262+IF($AC262&gt;0,1,0)+$AD262+$AG262+$AH262</f>
        <v/>
      </c>
      <c r="AF262" s="25" t="n"/>
      <c r="AG262" s="28">
        <f>IF(AND($A262&lt;&gt;"",$K262&lt;&gt;"",$C262&lt;&gt;"Portfolio",$D262&lt;&gt;"Completed",$D262&lt;&gt;"Terminated"),1,0)</f>
        <v/>
      </c>
      <c r="AH262" s="28">
        <f>IF(AND($A262&lt;&gt;"",COUNTIF($A$6:$A$305,$A262)&gt;1),1,0)</f>
        <v/>
      </c>
      <c r="AI262" s="28">
        <f>IF(AND($A262&lt;&gt;"",$C262="Portfolio"),COUNTIFS($C$6:$C262,"Portfolio",$A$6:$A262,"&lt;&gt;"),"")</f>
        <v/>
      </c>
    </row>
    <row r="263">
      <c r="A263" s="25" t="n"/>
      <c r="B263" s="25" t="n"/>
      <c r="C263" s="25" t="n"/>
      <c r="D263" s="25" t="n"/>
      <c r="E263" s="25" t="n"/>
      <c r="F263" s="25" t="n"/>
      <c r="G263" s="25" t="n"/>
      <c r="H263" s="26" t="n"/>
      <c r="I263" s="26" t="n"/>
      <c r="J263" s="27" t="n"/>
      <c r="K263" s="27" t="n"/>
      <c r="L263" s="23" t="n"/>
      <c r="M263" s="28">
        <f>IF($A263="","",IF($D263="","Not read",IF($Q263=0,"Not counted",IF(MAX($X263,$Y263)=3,"■ Red",IF(MAX($X263,$Y263)=2,"◧ Amber",IF(MAX($X263,$Y263)=1,"□ On track","Not read"))))))</f>
        <v/>
      </c>
      <c r="N263" s="28">
        <f>IF(OR($A263="",$B263&lt;&gt;"Program"),"","■ "&amp;COUNTIFS($C$6:$C$305,$A263,$M$6:$M$305,"■ Red")&amp;" Red, ◧ "&amp;COUNTIFS($C$6:$C$305,$A263,$M$6:$M$305,"◧ Amber")&amp;" Amber")</f>
        <v/>
      </c>
      <c r="O263" s="29">
        <f>IF(OR($A263="",$E263=""),"",COUNTIFS($E$6:$E$305,$E263,$D$6:$D$305,"Active")+COUNTIFS($E$6:$E$305,$E263,$D$6:$D$305,"Paused"))</f>
        <v/>
      </c>
      <c r="P263" s="28">
        <f>IF($A263="","",IF($AE263=0,"○ Clear",IF($AA263=1,"△ No owner",IF($AC263=1,"△ Check Sits under",IF($AC263=2,"△ Outside the portfolio",IF($AB263=1,"△ No sponsor",IF($AH263=1,"△ Name used twice",IF($AG263=1,"△ Budget only counts under Portfolio","△ No variance note"))))))&amp;IF($AE263&gt;1," (+"&amp;($AE263-1)&amp;" more)","")))</f>
        <v/>
      </c>
      <c r="Q263" s="28">
        <f>IF(AND($A263&lt;&gt;"",OR($D263="Active",$D263="Paused")),1,0)</f>
        <v/>
      </c>
      <c r="R263" s="28">
        <f>IFERROR(INDEX($A$6:$A$305,MATCH(256,$S$6:$S$305,0)),"")</f>
        <v/>
      </c>
      <c r="S263" s="28">
        <f>IF(AND($A263&lt;&gt;"",$B263="Program"),COUNTIFS($B$6:$B263,"Program",$A$6:$A263,"&lt;&gt;"),"")</f>
        <v/>
      </c>
      <c r="T263" s="30">
        <f>IF(AND($A263&lt;&gt;"",$B263="Program"),SUMPRODUCT(MAX(($C$6:$C$305=$A263)*($B$6:$B$305="Project")*($D$6:$D$305&lt;&gt;"Proposed")*$I$6:$I$305)),0)</f>
        <v/>
      </c>
      <c r="U263" s="30">
        <f>IF($I263&lt;&gt;"",$I263,IF($T263&gt;0,$T263,""))</f>
        <v/>
      </c>
      <c r="V263" s="28">
        <f>IF(AND($A263&lt;&gt;"",$B263="Program"),SUMIFS($J$6:$J$305,$C$6:$C$305,$A263,$B$6:$B$305,"Project",$D$6:$D$305,"&lt;&gt;Proposed"),0)</f>
        <v/>
      </c>
      <c r="W263" s="28">
        <f>IF(AND($A263&lt;&gt;"",$B263="Program"),COUNTIFS($C$6:$C$305,$A263,$B$6:$B$305,"Project",$D$6:$D$305,"&lt;&gt;Proposed")-COUNTIFS($C$6:$C$305,$A263,$B$6:$B$305,"Project",$D$6:$D$305,"&lt;&gt;Proposed",$J$6:$J$305,"&gt;=0"),0)</f>
        <v/>
      </c>
      <c r="X263" s="28">
        <f>IF(OR($Q263=0,$H263="",$AF263="Sprint"),0,IF(AND($B263="Project",$H263&lt;TODAY()),3,IF($U263="",0,IF($U263&lt;=$H263,1,IF(NETWORKDAYS($H263,$U263)-1&gt;IF($B263="Program",Checks!$B$7,Checks!$B$6),3,2)))))</f>
        <v/>
      </c>
      <c r="Y263" s="28">
        <f>IF(OR($Q263=0,$K263="",$K263=0,$AF263="Sprint"),0,IF(AND($B263="Project",$J263=""),0,IF(IF($B263="Program",$V263,$J263)&gt;$K263*(1+Checks!$B$8),3,IF(IF($B263="Program",$V263,$J263)&gt;$K263,2,IF(AND($B263="Program",OR($W263&gt;0,$V263=0)),0,1)))))</f>
        <v/>
      </c>
      <c r="Z263" s="28">
        <f>IF($A263="",0,IF($C263="Portfolio",1,IF(AND($B263="Project",$C263&lt;&gt;"",$C263&lt;&gt;"Outside the portfolio"),IFERROR(IF(AND(INDEX($B$6:$B$305,MATCH($C263,$A$6:$A$305,0))="Program",INDEX($C$6:$C$305,MATCH($C263,$A$6:$A$305,0))="Portfolio"),1,0),0),0)))</f>
        <v/>
      </c>
      <c r="AA263" s="28">
        <f>IF(AND($A263&lt;&gt;"",$E263="",OR($Q263=1,$D263="Proposed")),1,0)</f>
        <v/>
      </c>
      <c r="AB263" s="28">
        <f>IF(AND($A263&lt;&gt;"",$B263="Program",$F263="",$Q263=1),1,0)</f>
        <v/>
      </c>
      <c r="AC263" s="28">
        <f>IF(OR($A263="",$D263="Completed",$D263="Terminated"),0,IF($C263="",1,IF($C263="Portfolio",0,IF($C263="Outside the portfolio",IF($Q263=1,2,0),IF($B263="Project",IF(IFERROR(INDEX($B$6:$B$305,MATCH($C263,$A$6:$A$305,0)),"")="Program",0,1),1)))))</f>
        <v/>
      </c>
      <c r="AD263" s="28">
        <f>IF(AND($A263&lt;&gt;"",OR($M263="■ Red",$M263="◧ Amber"),$L263=""),1,0)</f>
        <v/>
      </c>
      <c r="AE263" s="28">
        <f>$AA263+$AB263+IF($AC263&gt;0,1,0)+$AD263+$AG263+$AH263</f>
        <v/>
      </c>
      <c r="AF263" s="25" t="n"/>
      <c r="AG263" s="28">
        <f>IF(AND($A263&lt;&gt;"",$K263&lt;&gt;"",$C263&lt;&gt;"Portfolio",$D263&lt;&gt;"Completed",$D263&lt;&gt;"Terminated"),1,0)</f>
        <v/>
      </c>
      <c r="AH263" s="28">
        <f>IF(AND($A263&lt;&gt;"",COUNTIF($A$6:$A$305,$A263)&gt;1),1,0)</f>
        <v/>
      </c>
      <c r="AI263" s="28">
        <f>IF(AND($A263&lt;&gt;"",$C263="Portfolio"),COUNTIFS($C$6:$C263,"Portfolio",$A$6:$A263,"&lt;&gt;"),"")</f>
        <v/>
      </c>
    </row>
    <row r="264">
      <c r="A264" s="25" t="n"/>
      <c r="B264" s="25" t="n"/>
      <c r="C264" s="25" t="n"/>
      <c r="D264" s="25" t="n"/>
      <c r="E264" s="25" t="n"/>
      <c r="F264" s="25" t="n"/>
      <c r="G264" s="25" t="n"/>
      <c r="H264" s="26" t="n"/>
      <c r="I264" s="26" t="n"/>
      <c r="J264" s="27" t="n"/>
      <c r="K264" s="27" t="n"/>
      <c r="L264" s="23" t="n"/>
      <c r="M264" s="28">
        <f>IF($A264="","",IF($D264="","Not read",IF($Q264=0,"Not counted",IF(MAX($X264,$Y264)=3,"■ Red",IF(MAX($X264,$Y264)=2,"◧ Amber",IF(MAX($X264,$Y264)=1,"□ On track","Not read"))))))</f>
        <v/>
      </c>
      <c r="N264" s="28">
        <f>IF(OR($A264="",$B264&lt;&gt;"Program"),"","■ "&amp;COUNTIFS($C$6:$C$305,$A264,$M$6:$M$305,"■ Red")&amp;" Red, ◧ "&amp;COUNTIFS($C$6:$C$305,$A264,$M$6:$M$305,"◧ Amber")&amp;" Amber")</f>
        <v/>
      </c>
      <c r="O264" s="29">
        <f>IF(OR($A264="",$E264=""),"",COUNTIFS($E$6:$E$305,$E264,$D$6:$D$305,"Active")+COUNTIFS($E$6:$E$305,$E264,$D$6:$D$305,"Paused"))</f>
        <v/>
      </c>
      <c r="P264" s="28">
        <f>IF($A264="","",IF($AE264=0,"○ Clear",IF($AA264=1,"△ No owner",IF($AC264=1,"△ Check Sits under",IF($AC264=2,"△ Outside the portfolio",IF($AB264=1,"△ No sponsor",IF($AH264=1,"△ Name used twice",IF($AG264=1,"△ Budget only counts under Portfolio","△ No variance note"))))))&amp;IF($AE264&gt;1," (+"&amp;($AE264-1)&amp;" more)","")))</f>
        <v/>
      </c>
      <c r="Q264" s="28">
        <f>IF(AND($A264&lt;&gt;"",OR($D264="Active",$D264="Paused")),1,0)</f>
        <v/>
      </c>
      <c r="R264" s="28">
        <f>IFERROR(INDEX($A$6:$A$305,MATCH(257,$S$6:$S$305,0)),"")</f>
        <v/>
      </c>
      <c r="S264" s="28">
        <f>IF(AND($A264&lt;&gt;"",$B264="Program"),COUNTIFS($B$6:$B264,"Program",$A$6:$A264,"&lt;&gt;"),"")</f>
        <v/>
      </c>
      <c r="T264" s="30">
        <f>IF(AND($A264&lt;&gt;"",$B264="Program"),SUMPRODUCT(MAX(($C$6:$C$305=$A264)*($B$6:$B$305="Project")*($D$6:$D$305&lt;&gt;"Proposed")*$I$6:$I$305)),0)</f>
        <v/>
      </c>
      <c r="U264" s="30">
        <f>IF($I264&lt;&gt;"",$I264,IF($T264&gt;0,$T264,""))</f>
        <v/>
      </c>
      <c r="V264" s="28">
        <f>IF(AND($A264&lt;&gt;"",$B264="Program"),SUMIFS($J$6:$J$305,$C$6:$C$305,$A264,$B$6:$B$305,"Project",$D$6:$D$305,"&lt;&gt;Proposed"),0)</f>
        <v/>
      </c>
      <c r="W264" s="28">
        <f>IF(AND($A264&lt;&gt;"",$B264="Program"),COUNTIFS($C$6:$C$305,$A264,$B$6:$B$305,"Project",$D$6:$D$305,"&lt;&gt;Proposed")-COUNTIFS($C$6:$C$305,$A264,$B$6:$B$305,"Project",$D$6:$D$305,"&lt;&gt;Proposed",$J$6:$J$305,"&gt;=0"),0)</f>
        <v/>
      </c>
      <c r="X264" s="28">
        <f>IF(OR($Q264=0,$H264="",$AF264="Sprint"),0,IF(AND($B264="Project",$H264&lt;TODAY()),3,IF($U264="",0,IF($U264&lt;=$H264,1,IF(NETWORKDAYS($H264,$U264)-1&gt;IF($B264="Program",Checks!$B$7,Checks!$B$6),3,2)))))</f>
        <v/>
      </c>
      <c r="Y264" s="28">
        <f>IF(OR($Q264=0,$K264="",$K264=0,$AF264="Sprint"),0,IF(AND($B264="Project",$J264=""),0,IF(IF($B264="Program",$V264,$J264)&gt;$K264*(1+Checks!$B$8),3,IF(IF($B264="Program",$V264,$J264)&gt;$K264,2,IF(AND($B264="Program",OR($W264&gt;0,$V264=0)),0,1)))))</f>
        <v/>
      </c>
      <c r="Z264" s="28">
        <f>IF($A264="",0,IF($C264="Portfolio",1,IF(AND($B264="Project",$C264&lt;&gt;"",$C264&lt;&gt;"Outside the portfolio"),IFERROR(IF(AND(INDEX($B$6:$B$305,MATCH($C264,$A$6:$A$305,0))="Program",INDEX($C$6:$C$305,MATCH($C264,$A$6:$A$305,0))="Portfolio"),1,0),0),0)))</f>
        <v/>
      </c>
      <c r="AA264" s="28">
        <f>IF(AND($A264&lt;&gt;"",$E264="",OR($Q264=1,$D264="Proposed")),1,0)</f>
        <v/>
      </c>
      <c r="AB264" s="28">
        <f>IF(AND($A264&lt;&gt;"",$B264="Program",$F264="",$Q264=1),1,0)</f>
        <v/>
      </c>
      <c r="AC264" s="28">
        <f>IF(OR($A264="",$D264="Completed",$D264="Terminated"),0,IF($C264="",1,IF($C264="Portfolio",0,IF($C264="Outside the portfolio",IF($Q264=1,2,0),IF($B264="Project",IF(IFERROR(INDEX($B$6:$B$305,MATCH($C264,$A$6:$A$305,0)),"")="Program",0,1),1)))))</f>
        <v/>
      </c>
      <c r="AD264" s="28">
        <f>IF(AND($A264&lt;&gt;"",OR($M264="■ Red",$M264="◧ Amber"),$L264=""),1,0)</f>
        <v/>
      </c>
      <c r="AE264" s="28">
        <f>$AA264+$AB264+IF($AC264&gt;0,1,0)+$AD264+$AG264+$AH264</f>
        <v/>
      </c>
      <c r="AF264" s="25" t="n"/>
      <c r="AG264" s="28">
        <f>IF(AND($A264&lt;&gt;"",$K264&lt;&gt;"",$C264&lt;&gt;"Portfolio",$D264&lt;&gt;"Completed",$D264&lt;&gt;"Terminated"),1,0)</f>
        <v/>
      </c>
      <c r="AH264" s="28">
        <f>IF(AND($A264&lt;&gt;"",COUNTIF($A$6:$A$305,$A264)&gt;1),1,0)</f>
        <v/>
      </c>
      <c r="AI264" s="28">
        <f>IF(AND($A264&lt;&gt;"",$C264="Portfolio"),COUNTIFS($C$6:$C264,"Portfolio",$A$6:$A264,"&lt;&gt;"),"")</f>
        <v/>
      </c>
    </row>
    <row r="265">
      <c r="A265" s="25" t="n"/>
      <c r="B265" s="25" t="n"/>
      <c r="C265" s="25" t="n"/>
      <c r="D265" s="25" t="n"/>
      <c r="E265" s="25" t="n"/>
      <c r="F265" s="25" t="n"/>
      <c r="G265" s="25" t="n"/>
      <c r="H265" s="26" t="n"/>
      <c r="I265" s="26" t="n"/>
      <c r="J265" s="27" t="n"/>
      <c r="K265" s="27" t="n"/>
      <c r="L265" s="23" t="n"/>
      <c r="M265" s="28">
        <f>IF($A265="","",IF($D265="","Not read",IF($Q265=0,"Not counted",IF(MAX($X265,$Y265)=3,"■ Red",IF(MAX($X265,$Y265)=2,"◧ Amber",IF(MAX($X265,$Y265)=1,"□ On track","Not read"))))))</f>
        <v/>
      </c>
      <c r="N265" s="28">
        <f>IF(OR($A265="",$B265&lt;&gt;"Program"),"","■ "&amp;COUNTIFS($C$6:$C$305,$A265,$M$6:$M$305,"■ Red")&amp;" Red, ◧ "&amp;COUNTIFS($C$6:$C$305,$A265,$M$6:$M$305,"◧ Amber")&amp;" Amber")</f>
        <v/>
      </c>
      <c r="O265" s="29">
        <f>IF(OR($A265="",$E265=""),"",COUNTIFS($E$6:$E$305,$E265,$D$6:$D$305,"Active")+COUNTIFS($E$6:$E$305,$E265,$D$6:$D$305,"Paused"))</f>
        <v/>
      </c>
      <c r="P265" s="28">
        <f>IF($A265="","",IF($AE265=0,"○ Clear",IF($AA265=1,"△ No owner",IF($AC265=1,"△ Check Sits under",IF($AC265=2,"△ Outside the portfolio",IF($AB265=1,"△ No sponsor",IF($AH265=1,"△ Name used twice",IF($AG265=1,"△ Budget only counts under Portfolio","△ No variance note"))))))&amp;IF($AE265&gt;1," (+"&amp;($AE265-1)&amp;" more)","")))</f>
        <v/>
      </c>
      <c r="Q265" s="28">
        <f>IF(AND($A265&lt;&gt;"",OR($D265="Active",$D265="Paused")),1,0)</f>
        <v/>
      </c>
      <c r="R265" s="28">
        <f>IFERROR(INDEX($A$6:$A$305,MATCH(258,$S$6:$S$305,0)),"")</f>
        <v/>
      </c>
      <c r="S265" s="28">
        <f>IF(AND($A265&lt;&gt;"",$B265="Program"),COUNTIFS($B$6:$B265,"Program",$A$6:$A265,"&lt;&gt;"),"")</f>
        <v/>
      </c>
      <c r="T265" s="30">
        <f>IF(AND($A265&lt;&gt;"",$B265="Program"),SUMPRODUCT(MAX(($C$6:$C$305=$A265)*($B$6:$B$305="Project")*($D$6:$D$305&lt;&gt;"Proposed")*$I$6:$I$305)),0)</f>
        <v/>
      </c>
      <c r="U265" s="30">
        <f>IF($I265&lt;&gt;"",$I265,IF($T265&gt;0,$T265,""))</f>
        <v/>
      </c>
      <c r="V265" s="28">
        <f>IF(AND($A265&lt;&gt;"",$B265="Program"),SUMIFS($J$6:$J$305,$C$6:$C$305,$A265,$B$6:$B$305,"Project",$D$6:$D$305,"&lt;&gt;Proposed"),0)</f>
        <v/>
      </c>
      <c r="W265" s="28">
        <f>IF(AND($A265&lt;&gt;"",$B265="Program"),COUNTIFS($C$6:$C$305,$A265,$B$6:$B$305,"Project",$D$6:$D$305,"&lt;&gt;Proposed")-COUNTIFS($C$6:$C$305,$A265,$B$6:$B$305,"Project",$D$6:$D$305,"&lt;&gt;Proposed",$J$6:$J$305,"&gt;=0"),0)</f>
        <v/>
      </c>
      <c r="X265" s="28">
        <f>IF(OR($Q265=0,$H265="",$AF265="Sprint"),0,IF(AND($B265="Project",$H265&lt;TODAY()),3,IF($U265="",0,IF($U265&lt;=$H265,1,IF(NETWORKDAYS($H265,$U265)-1&gt;IF($B265="Program",Checks!$B$7,Checks!$B$6),3,2)))))</f>
        <v/>
      </c>
      <c r="Y265" s="28">
        <f>IF(OR($Q265=0,$K265="",$K265=0,$AF265="Sprint"),0,IF(AND($B265="Project",$J265=""),0,IF(IF($B265="Program",$V265,$J265)&gt;$K265*(1+Checks!$B$8),3,IF(IF($B265="Program",$V265,$J265)&gt;$K265,2,IF(AND($B265="Program",OR($W265&gt;0,$V265=0)),0,1)))))</f>
        <v/>
      </c>
      <c r="Z265" s="28">
        <f>IF($A265="",0,IF($C265="Portfolio",1,IF(AND($B265="Project",$C265&lt;&gt;"",$C265&lt;&gt;"Outside the portfolio"),IFERROR(IF(AND(INDEX($B$6:$B$305,MATCH($C265,$A$6:$A$305,0))="Program",INDEX($C$6:$C$305,MATCH($C265,$A$6:$A$305,0))="Portfolio"),1,0),0),0)))</f>
        <v/>
      </c>
      <c r="AA265" s="28">
        <f>IF(AND($A265&lt;&gt;"",$E265="",OR($Q265=1,$D265="Proposed")),1,0)</f>
        <v/>
      </c>
      <c r="AB265" s="28">
        <f>IF(AND($A265&lt;&gt;"",$B265="Program",$F265="",$Q265=1),1,0)</f>
        <v/>
      </c>
      <c r="AC265" s="28">
        <f>IF(OR($A265="",$D265="Completed",$D265="Terminated"),0,IF($C265="",1,IF($C265="Portfolio",0,IF($C265="Outside the portfolio",IF($Q265=1,2,0),IF($B265="Project",IF(IFERROR(INDEX($B$6:$B$305,MATCH($C265,$A$6:$A$305,0)),"")="Program",0,1),1)))))</f>
        <v/>
      </c>
      <c r="AD265" s="28">
        <f>IF(AND($A265&lt;&gt;"",OR($M265="■ Red",$M265="◧ Amber"),$L265=""),1,0)</f>
        <v/>
      </c>
      <c r="AE265" s="28">
        <f>$AA265+$AB265+IF($AC265&gt;0,1,0)+$AD265+$AG265+$AH265</f>
        <v/>
      </c>
      <c r="AF265" s="25" t="n"/>
      <c r="AG265" s="28">
        <f>IF(AND($A265&lt;&gt;"",$K265&lt;&gt;"",$C265&lt;&gt;"Portfolio",$D265&lt;&gt;"Completed",$D265&lt;&gt;"Terminated"),1,0)</f>
        <v/>
      </c>
      <c r="AH265" s="28">
        <f>IF(AND($A265&lt;&gt;"",COUNTIF($A$6:$A$305,$A265)&gt;1),1,0)</f>
        <v/>
      </c>
      <c r="AI265" s="28">
        <f>IF(AND($A265&lt;&gt;"",$C265="Portfolio"),COUNTIFS($C$6:$C265,"Portfolio",$A$6:$A265,"&lt;&gt;"),"")</f>
        <v/>
      </c>
    </row>
    <row r="266">
      <c r="A266" s="25" t="n"/>
      <c r="B266" s="25" t="n"/>
      <c r="C266" s="25" t="n"/>
      <c r="D266" s="25" t="n"/>
      <c r="E266" s="25" t="n"/>
      <c r="F266" s="25" t="n"/>
      <c r="G266" s="25" t="n"/>
      <c r="H266" s="26" t="n"/>
      <c r="I266" s="26" t="n"/>
      <c r="J266" s="27" t="n"/>
      <c r="K266" s="27" t="n"/>
      <c r="L266" s="23" t="n"/>
      <c r="M266" s="28">
        <f>IF($A266="","",IF($D266="","Not read",IF($Q266=0,"Not counted",IF(MAX($X266,$Y266)=3,"■ Red",IF(MAX($X266,$Y266)=2,"◧ Amber",IF(MAX($X266,$Y266)=1,"□ On track","Not read"))))))</f>
        <v/>
      </c>
      <c r="N266" s="28">
        <f>IF(OR($A266="",$B266&lt;&gt;"Program"),"","■ "&amp;COUNTIFS($C$6:$C$305,$A266,$M$6:$M$305,"■ Red")&amp;" Red, ◧ "&amp;COUNTIFS($C$6:$C$305,$A266,$M$6:$M$305,"◧ Amber")&amp;" Amber")</f>
        <v/>
      </c>
      <c r="O266" s="29">
        <f>IF(OR($A266="",$E266=""),"",COUNTIFS($E$6:$E$305,$E266,$D$6:$D$305,"Active")+COUNTIFS($E$6:$E$305,$E266,$D$6:$D$305,"Paused"))</f>
        <v/>
      </c>
      <c r="P266" s="28">
        <f>IF($A266="","",IF($AE266=0,"○ Clear",IF($AA266=1,"△ No owner",IF($AC266=1,"△ Check Sits under",IF($AC266=2,"△ Outside the portfolio",IF($AB266=1,"△ No sponsor",IF($AH266=1,"△ Name used twice",IF($AG266=1,"△ Budget only counts under Portfolio","△ No variance note"))))))&amp;IF($AE266&gt;1," (+"&amp;($AE266-1)&amp;" more)","")))</f>
        <v/>
      </c>
      <c r="Q266" s="28">
        <f>IF(AND($A266&lt;&gt;"",OR($D266="Active",$D266="Paused")),1,0)</f>
        <v/>
      </c>
      <c r="R266" s="28">
        <f>IFERROR(INDEX($A$6:$A$305,MATCH(259,$S$6:$S$305,0)),"")</f>
        <v/>
      </c>
      <c r="S266" s="28">
        <f>IF(AND($A266&lt;&gt;"",$B266="Program"),COUNTIFS($B$6:$B266,"Program",$A$6:$A266,"&lt;&gt;"),"")</f>
        <v/>
      </c>
      <c r="T266" s="30">
        <f>IF(AND($A266&lt;&gt;"",$B266="Program"),SUMPRODUCT(MAX(($C$6:$C$305=$A266)*($B$6:$B$305="Project")*($D$6:$D$305&lt;&gt;"Proposed")*$I$6:$I$305)),0)</f>
        <v/>
      </c>
      <c r="U266" s="30">
        <f>IF($I266&lt;&gt;"",$I266,IF($T266&gt;0,$T266,""))</f>
        <v/>
      </c>
      <c r="V266" s="28">
        <f>IF(AND($A266&lt;&gt;"",$B266="Program"),SUMIFS($J$6:$J$305,$C$6:$C$305,$A266,$B$6:$B$305,"Project",$D$6:$D$305,"&lt;&gt;Proposed"),0)</f>
        <v/>
      </c>
      <c r="W266" s="28">
        <f>IF(AND($A266&lt;&gt;"",$B266="Program"),COUNTIFS($C$6:$C$305,$A266,$B$6:$B$305,"Project",$D$6:$D$305,"&lt;&gt;Proposed")-COUNTIFS($C$6:$C$305,$A266,$B$6:$B$305,"Project",$D$6:$D$305,"&lt;&gt;Proposed",$J$6:$J$305,"&gt;=0"),0)</f>
        <v/>
      </c>
      <c r="X266" s="28">
        <f>IF(OR($Q266=0,$H266="",$AF266="Sprint"),0,IF(AND($B266="Project",$H266&lt;TODAY()),3,IF($U266="",0,IF($U266&lt;=$H266,1,IF(NETWORKDAYS($H266,$U266)-1&gt;IF($B266="Program",Checks!$B$7,Checks!$B$6),3,2)))))</f>
        <v/>
      </c>
      <c r="Y266" s="28">
        <f>IF(OR($Q266=0,$K266="",$K266=0,$AF266="Sprint"),0,IF(AND($B266="Project",$J266=""),0,IF(IF($B266="Program",$V266,$J266)&gt;$K266*(1+Checks!$B$8),3,IF(IF($B266="Program",$V266,$J266)&gt;$K266,2,IF(AND($B266="Program",OR($W266&gt;0,$V266=0)),0,1)))))</f>
        <v/>
      </c>
      <c r="Z266" s="28">
        <f>IF($A266="",0,IF($C266="Portfolio",1,IF(AND($B266="Project",$C266&lt;&gt;"",$C266&lt;&gt;"Outside the portfolio"),IFERROR(IF(AND(INDEX($B$6:$B$305,MATCH($C266,$A$6:$A$305,0))="Program",INDEX($C$6:$C$305,MATCH($C266,$A$6:$A$305,0))="Portfolio"),1,0),0),0)))</f>
        <v/>
      </c>
      <c r="AA266" s="28">
        <f>IF(AND($A266&lt;&gt;"",$E266="",OR($Q266=1,$D266="Proposed")),1,0)</f>
        <v/>
      </c>
      <c r="AB266" s="28">
        <f>IF(AND($A266&lt;&gt;"",$B266="Program",$F266="",$Q266=1),1,0)</f>
        <v/>
      </c>
      <c r="AC266" s="28">
        <f>IF(OR($A266="",$D266="Completed",$D266="Terminated"),0,IF($C266="",1,IF($C266="Portfolio",0,IF($C266="Outside the portfolio",IF($Q266=1,2,0),IF($B266="Project",IF(IFERROR(INDEX($B$6:$B$305,MATCH($C266,$A$6:$A$305,0)),"")="Program",0,1),1)))))</f>
        <v/>
      </c>
      <c r="AD266" s="28">
        <f>IF(AND($A266&lt;&gt;"",OR($M266="■ Red",$M266="◧ Amber"),$L266=""),1,0)</f>
        <v/>
      </c>
      <c r="AE266" s="28">
        <f>$AA266+$AB266+IF($AC266&gt;0,1,0)+$AD266+$AG266+$AH266</f>
        <v/>
      </c>
      <c r="AF266" s="25" t="n"/>
      <c r="AG266" s="28">
        <f>IF(AND($A266&lt;&gt;"",$K266&lt;&gt;"",$C266&lt;&gt;"Portfolio",$D266&lt;&gt;"Completed",$D266&lt;&gt;"Terminated"),1,0)</f>
        <v/>
      </c>
      <c r="AH266" s="28">
        <f>IF(AND($A266&lt;&gt;"",COUNTIF($A$6:$A$305,$A266)&gt;1),1,0)</f>
        <v/>
      </c>
      <c r="AI266" s="28">
        <f>IF(AND($A266&lt;&gt;"",$C266="Portfolio"),COUNTIFS($C$6:$C266,"Portfolio",$A$6:$A266,"&lt;&gt;"),"")</f>
        <v/>
      </c>
    </row>
    <row r="267">
      <c r="A267" s="25" t="n"/>
      <c r="B267" s="25" t="n"/>
      <c r="C267" s="25" t="n"/>
      <c r="D267" s="25" t="n"/>
      <c r="E267" s="25" t="n"/>
      <c r="F267" s="25" t="n"/>
      <c r="G267" s="25" t="n"/>
      <c r="H267" s="26" t="n"/>
      <c r="I267" s="26" t="n"/>
      <c r="J267" s="27" t="n"/>
      <c r="K267" s="27" t="n"/>
      <c r="L267" s="23" t="n"/>
      <c r="M267" s="28">
        <f>IF($A267="","",IF($D267="","Not read",IF($Q267=0,"Not counted",IF(MAX($X267,$Y267)=3,"■ Red",IF(MAX($X267,$Y267)=2,"◧ Amber",IF(MAX($X267,$Y267)=1,"□ On track","Not read"))))))</f>
        <v/>
      </c>
      <c r="N267" s="28">
        <f>IF(OR($A267="",$B267&lt;&gt;"Program"),"","■ "&amp;COUNTIFS($C$6:$C$305,$A267,$M$6:$M$305,"■ Red")&amp;" Red, ◧ "&amp;COUNTIFS($C$6:$C$305,$A267,$M$6:$M$305,"◧ Amber")&amp;" Amber")</f>
        <v/>
      </c>
      <c r="O267" s="29">
        <f>IF(OR($A267="",$E267=""),"",COUNTIFS($E$6:$E$305,$E267,$D$6:$D$305,"Active")+COUNTIFS($E$6:$E$305,$E267,$D$6:$D$305,"Paused"))</f>
        <v/>
      </c>
      <c r="P267" s="28">
        <f>IF($A267="","",IF($AE267=0,"○ Clear",IF($AA267=1,"△ No owner",IF($AC267=1,"△ Check Sits under",IF($AC267=2,"△ Outside the portfolio",IF($AB267=1,"△ No sponsor",IF($AH267=1,"△ Name used twice",IF($AG267=1,"△ Budget only counts under Portfolio","△ No variance note"))))))&amp;IF($AE267&gt;1," (+"&amp;($AE267-1)&amp;" more)","")))</f>
        <v/>
      </c>
      <c r="Q267" s="28">
        <f>IF(AND($A267&lt;&gt;"",OR($D267="Active",$D267="Paused")),1,0)</f>
        <v/>
      </c>
      <c r="R267" s="28">
        <f>IFERROR(INDEX($A$6:$A$305,MATCH(260,$S$6:$S$305,0)),"")</f>
        <v/>
      </c>
      <c r="S267" s="28">
        <f>IF(AND($A267&lt;&gt;"",$B267="Program"),COUNTIFS($B$6:$B267,"Program",$A$6:$A267,"&lt;&gt;"),"")</f>
        <v/>
      </c>
      <c r="T267" s="30">
        <f>IF(AND($A267&lt;&gt;"",$B267="Program"),SUMPRODUCT(MAX(($C$6:$C$305=$A267)*($B$6:$B$305="Project")*($D$6:$D$305&lt;&gt;"Proposed")*$I$6:$I$305)),0)</f>
        <v/>
      </c>
      <c r="U267" s="30">
        <f>IF($I267&lt;&gt;"",$I267,IF($T267&gt;0,$T267,""))</f>
        <v/>
      </c>
      <c r="V267" s="28">
        <f>IF(AND($A267&lt;&gt;"",$B267="Program"),SUMIFS($J$6:$J$305,$C$6:$C$305,$A267,$B$6:$B$305,"Project",$D$6:$D$305,"&lt;&gt;Proposed"),0)</f>
        <v/>
      </c>
      <c r="W267" s="28">
        <f>IF(AND($A267&lt;&gt;"",$B267="Program"),COUNTIFS($C$6:$C$305,$A267,$B$6:$B$305,"Project",$D$6:$D$305,"&lt;&gt;Proposed")-COUNTIFS($C$6:$C$305,$A267,$B$6:$B$305,"Project",$D$6:$D$305,"&lt;&gt;Proposed",$J$6:$J$305,"&gt;=0"),0)</f>
        <v/>
      </c>
      <c r="X267" s="28">
        <f>IF(OR($Q267=0,$H267="",$AF267="Sprint"),0,IF(AND($B267="Project",$H267&lt;TODAY()),3,IF($U267="",0,IF($U267&lt;=$H267,1,IF(NETWORKDAYS($H267,$U267)-1&gt;IF($B267="Program",Checks!$B$7,Checks!$B$6),3,2)))))</f>
        <v/>
      </c>
      <c r="Y267" s="28">
        <f>IF(OR($Q267=0,$K267="",$K267=0,$AF267="Sprint"),0,IF(AND($B267="Project",$J267=""),0,IF(IF($B267="Program",$V267,$J267)&gt;$K267*(1+Checks!$B$8),3,IF(IF($B267="Program",$V267,$J267)&gt;$K267,2,IF(AND($B267="Program",OR($W267&gt;0,$V267=0)),0,1)))))</f>
        <v/>
      </c>
      <c r="Z267" s="28">
        <f>IF($A267="",0,IF($C267="Portfolio",1,IF(AND($B267="Project",$C267&lt;&gt;"",$C267&lt;&gt;"Outside the portfolio"),IFERROR(IF(AND(INDEX($B$6:$B$305,MATCH($C267,$A$6:$A$305,0))="Program",INDEX($C$6:$C$305,MATCH($C267,$A$6:$A$305,0))="Portfolio"),1,0),0),0)))</f>
        <v/>
      </c>
      <c r="AA267" s="28">
        <f>IF(AND($A267&lt;&gt;"",$E267="",OR($Q267=1,$D267="Proposed")),1,0)</f>
        <v/>
      </c>
      <c r="AB267" s="28">
        <f>IF(AND($A267&lt;&gt;"",$B267="Program",$F267="",$Q267=1),1,0)</f>
        <v/>
      </c>
      <c r="AC267" s="28">
        <f>IF(OR($A267="",$D267="Completed",$D267="Terminated"),0,IF($C267="",1,IF($C267="Portfolio",0,IF($C267="Outside the portfolio",IF($Q267=1,2,0),IF($B267="Project",IF(IFERROR(INDEX($B$6:$B$305,MATCH($C267,$A$6:$A$305,0)),"")="Program",0,1),1)))))</f>
        <v/>
      </c>
      <c r="AD267" s="28">
        <f>IF(AND($A267&lt;&gt;"",OR($M267="■ Red",$M267="◧ Amber"),$L267=""),1,0)</f>
        <v/>
      </c>
      <c r="AE267" s="28">
        <f>$AA267+$AB267+IF($AC267&gt;0,1,0)+$AD267+$AG267+$AH267</f>
        <v/>
      </c>
      <c r="AF267" s="25" t="n"/>
      <c r="AG267" s="28">
        <f>IF(AND($A267&lt;&gt;"",$K267&lt;&gt;"",$C267&lt;&gt;"Portfolio",$D267&lt;&gt;"Completed",$D267&lt;&gt;"Terminated"),1,0)</f>
        <v/>
      </c>
      <c r="AH267" s="28">
        <f>IF(AND($A267&lt;&gt;"",COUNTIF($A$6:$A$305,$A267)&gt;1),1,0)</f>
        <v/>
      </c>
      <c r="AI267" s="28">
        <f>IF(AND($A267&lt;&gt;"",$C267="Portfolio"),COUNTIFS($C$6:$C267,"Portfolio",$A$6:$A267,"&lt;&gt;"),"")</f>
        <v/>
      </c>
    </row>
    <row r="268">
      <c r="A268" s="25" t="n"/>
      <c r="B268" s="25" t="n"/>
      <c r="C268" s="25" t="n"/>
      <c r="D268" s="25" t="n"/>
      <c r="E268" s="25" t="n"/>
      <c r="F268" s="25" t="n"/>
      <c r="G268" s="25" t="n"/>
      <c r="H268" s="26" t="n"/>
      <c r="I268" s="26" t="n"/>
      <c r="J268" s="27" t="n"/>
      <c r="K268" s="27" t="n"/>
      <c r="L268" s="23" t="n"/>
      <c r="M268" s="28">
        <f>IF($A268="","",IF($D268="","Not read",IF($Q268=0,"Not counted",IF(MAX($X268,$Y268)=3,"■ Red",IF(MAX($X268,$Y268)=2,"◧ Amber",IF(MAX($X268,$Y268)=1,"□ On track","Not read"))))))</f>
        <v/>
      </c>
      <c r="N268" s="28">
        <f>IF(OR($A268="",$B268&lt;&gt;"Program"),"","■ "&amp;COUNTIFS($C$6:$C$305,$A268,$M$6:$M$305,"■ Red")&amp;" Red, ◧ "&amp;COUNTIFS($C$6:$C$305,$A268,$M$6:$M$305,"◧ Amber")&amp;" Amber")</f>
        <v/>
      </c>
      <c r="O268" s="29">
        <f>IF(OR($A268="",$E268=""),"",COUNTIFS($E$6:$E$305,$E268,$D$6:$D$305,"Active")+COUNTIFS($E$6:$E$305,$E268,$D$6:$D$305,"Paused"))</f>
        <v/>
      </c>
      <c r="P268" s="28">
        <f>IF($A268="","",IF($AE268=0,"○ Clear",IF($AA268=1,"△ No owner",IF($AC268=1,"△ Check Sits under",IF($AC268=2,"△ Outside the portfolio",IF($AB268=1,"△ No sponsor",IF($AH268=1,"△ Name used twice",IF($AG268=1,"△ Budget only counts under Portfolio","△ No variance note"))))))&amp;IF($AE268&gt;1," (+"&amp;($AE268-1)&amp;" more)","")))</f>
        <v/>
      </c>
      <c r="Q268" s="28">
        <f>IF(AND($A268&lt;&gt;"",OR($D268="Active",$D268="Paused")),1,0)</f>
        <v/>
      </c>
      <c r="R268" s="28">
        <f>IFERROR(INDEX($A$6:$A$305,MATCH(261,$S$6:$S$305,0)),"")</f>
        <v/>
      </c>
      <c r="S268" s="28">
        <f>IF(AND($A268&lt;&gt;"",$B268="Program"),COUNTIFS($B$6:$B268,"Program",$A$6:$A268,"&lt;&gt;"),"")</f>
        <v/>
      </c>
      <c r="T268" s="30">
        <f>IF(AND($A268&lt;&gt;"",$B268="Program"),SUMPRODUCT(MAX(($C$6:$C$305=$A268)*($B$6:$B$305="Project")*($D$6:$D$305&lt;&gt;"Proposed")*$I$6:$I$305)),0)</f>
        <v/>
      </c>
      <c r="U268" s="30">
        <f>IF($I268&lt;&gt;"",$I268,IF($T268&gt;0,$T268,""))</f>
        <v/>
      </c>
      <c r="V268" s="28">
        <f>IF(AND($A268&lt;&gt;"",$B268="Program"),SUMIFS($J$6:$J$305,$C$6:$C$305,$A268,$B$6:$B$305,"Project",$D$6:$D$305,"&lt;&gt;Proposed"),0)</f>
        <v/>
      </c>
      <c r="W268" s="28">
        <f>IF(AND($A268&lt;&gt;"",$B268="Program"),COUNTIFS($C$6:$C$305,$A268,$B$6:$B$305,"Project",$D$6:$D$305,"&lt;&gt;Proposed")-COUNTIFS($C$6:$C$305,$A268,$B$6:$B$305,"Project",$D$6:$D$305,"&lt;&gt;Proposed",$J$6:$J$305,"&gt;=0"),0)</f>
        <v/>
      </c>
      <c r="X268" s="28">
        <f>IF(OR($Q268=0,$H268="",$AF268="Sprint"),0,IF(AND($B268="Project",$H268&lt;TODAY()),3,IF($U268="",0,IF($U268&lt;=$H268,1,IF(NETWORKDAYS($H268,$U268)-1&gt;IF($B268="Program",Checks!$B$7,Checks!$B$6),3,2)))))</f>
        <v/>
      </c>
      <c r="Y268" s="28">
        <f>IF(OR($Q268=0,$K268="",$K268=0,$AF268="Sprint"),0,IF(AND($B268="Project",$J268=""),0,IF(IF($B268="Program",$V268,$J268)&gt;$K268*(1+Checks!$B$8),3,IF(IF($B268="Program",$V268,$J268)&gt;$K268,2,IF(AND($B268="Program",OR($W268&gt;0,$V268=0)),0,1)))))</f>
        <v/>
      </c>
      <c r="Z268" s="28">
        <f>IF($A268="",0,IF($C268="Portfolio",1,IF(AND($B268="Project",$C268&lt;&gt;"",$C268&lt;&gt;"Outside the portfolio"),IFERROR(IF(AND(INDEX($B$6:$B$305,MATCH($C268,$A$6:$A$305,0))="Program",INDEX($C$6:$C$305,MATCH($C268,$A$6:$A$305,0))="Portfolio"),1,0),0),0)))</f>
        <v/>
      </c>
      <c r="AA268" s="28">
        <f>IF(AND($A268&lt;&gt;"",$E268="",OR($Q268=1,$D268="Proposed")),1,0)</f>
        <v/>
      </c>
      <c r="AB268" s="28">
        <f>IF(AND($A268&lt;&gt;"",$B268="Program",$F268="",$Q268=1),1,0)</f>
        <v/>
      </c>
      <c r="AC268" s="28">
        <f>IF(OR($A268="",$D268="Completed",$D268="Terminated"),0,IF($C268="",1,IF($C268="Portfolio",0,IF($C268="Outside the portfolio",IF($Q268=1,2,0),IF($B268="Project",IF(IFERROR(INDEX($B$6:$B$305,MATCH($C268,$A$6:$A$305,0)),"")="Program",0,1),1)))))</f>
        <v/>
      </c>
      <c r="AD268" s="28">
        <f>IF(AND($A268&lt;&gt;"",OR($M268="■ Red",$M268="◧ Amber"),$L268=""),1,0)</f>
        <v/>
      </c>
      <c r="AE268" s="28">
        <f>$AA268+$AB268+IF($AC268&gt;0,1,0)+$AD268+$AG268+$AH268</f>
        <v/>
      </c>
      <c r="AF268" s="25" t="n"/>
      <c r="AG268" s="28">
        <f>IF(AND($A268&lt;&gt;"",$K268&lt;&gt;"",$C268&lt;&gt;"Portfolio",$D268&lt;&gt;"Completed",$D268&lt;&gt;"Terminated"),1,0)</f>
        <v/>
      </c>
      <c r="AH268" s="28">
        <f>IF(AND($A268&lt;&gt;"",COUNTIF($A$6:$A$305,$A268)&gt;1),1,0)</f>
        <v/>
      </c>
      <c r="AI268" s="28">
        <f>IF(AND($A268&lt;&gt;"",$C268="Portfolio"),COUNTIFS($C$6:$C268,"Portfolio",$A$6:$A268,"&lt;&gt;"),"")</f>
        <v/>
      </c>
    </row>
    <row r="269">
      <c r="A269" s="25" t="n"/>
      <c r="B269" s="25" t="n"/>
      <c r="C269" s="25" t="n"/>
      <c r="D269" s="25" t="n"/>
      <c r="E269" s="25" t="n"/>
      <c r="F269" s="25" t="n"/>
      <c r="G269" s="25" t="n"/>
      <c r="H269" s="26" t="n"/>
      <c r="I269" s="26" t="n"/>
      <c r="J269" s="27" t="n"/>
      <c r="K269" s="27" t="n"/>
      <c r="L269" s="23" t="n"/>
      <c r="M269" s="28">
        <f>IF($A269="","",IF($D269="","Not read",IF($Q269=0,"Not counted",IF(MAX($X269,$Y269)=3,"■ Red",IF(MAX($X269,$Y269)=2,"◧ Amber",IF(MAX($X269,$Y269)=1,"□ On track","Not read"))))))</f>
        <v/>
      </c>
      <c r="N269" s="28">
        <f>IF(OR($A269="",$B269&lt;&gt;"Program"),"","■ "&amp;COUNTIFS($C$6:$C$305,$A269,$M$6:$M$305,"■ Red")&amp;" Red, ◧ "&amp;COUNTIFS($C$6:$C$305,$A269,$M$6:$M$305,"◧ Amber")&amp;" Amber")</f>
        <v/>
      </c>
      <c r="O269" s="29">
        <f>IF(OR($A269="",$E269=""),"",COUNTIFS($E$6:$E$305,$E269,$D$6:$D$305,"Active")+COUNTIFS($E$6:$E$305,$E269,$D$6:$D$305,"Paused"))</f>
        <v/>
      </c>
      <c r="P269" s="28">
        <f>IF($A269="","",IF($AE269=0,"○ Clear",IF($AA269=1,"△ No owner",IF($AC269=1,"△ Check Sits under",IF($AC269=2,"△ Outside the portfolio",IF($AB269=1,"△ No sponsor",IF($AH269=1,"△ Name used twice",IF($AG269=1,"△ Budget only counts under Portfolio","△ No variance note"))))))&amp;IF($AE269&gt;1," (+"&amp;($AE269-1)&amp;" more)","")))</f>
        <v/>
      </c>
      <c r="Q269" s="28">
        <f>IF(AND($A269&lt;&gt;"",OR($D269="Active",$D269="Paused")),1,0)</f>
        <v/>
      </c>
      <c r="R269" s="28">
        <f>IFERROR(INDEX($A$6:$A$305,MATCH(262,$S$6:$S$305,0)),"")</f>
        <v/>
      </c>
      <c r="S269" s="28">
        <f>IF(AND($A269&lt;&gt;"",$B269="Program"),COUNTIFS($B$6:$B269,"Program",$A$6:$A269,"&lt;&gt;"),"")</f>
        <v/>
      </c>
      <c r="T269" s="30">
        <f>IF(AND($A269&lt;&gt;"",$B269="Program"),SUMPRODUCT(MAX(($C$6:$C$305=$A269)*($B$6:$B$305="Project")*($D$6:$D$305&lt;&gt;"Proposed")*$I$6:$I$305)),0)</f>
        <v/>
      </c>
      <c r="U269" s="30">
        <f>IF($I269&lt;&gt;"",$I269,IF($T269&gt;0,$T269,""))</f>
        <v/>
      </c>
      <c r="V269" s="28">
        <f>IF(AND($A269&lt;&gt;"",$B269="Program"),SUMIFS($J$6:$J$305,$C$6:$C$305,$A269,$B$6:$B$305,"Project",$D$6:$D$305,"&lt;&gt;Proposed"),0)</f>
        <v/>
      </c>
      <c r="W269" s="28">
        <f>IF(AND($A269&lt;&gt;"",$B269="Program"),COUNTIFS($C$6:$C$305,$A269,$B$6:$B$305,"Project",$D$6:$D$305,"&lt;&gt;Proposed")-COUNTIFS($C$6:$C$305,$A269,$B$6:$B$305,"Project",$D$6:$D$305,"&lt;&gt;Proposed",$J$6:$J$305,"&gt;=0"),0)</f>
        <v/>
      </c>
      <c r="X269" s="28">
        <f>IF(OR($Q269=0,$H269="",$AF269="Sprint"),0,IF(AND($B269="Project",$H269&lt;TODAY()),3,IF($U269="",0,IF($U269&lt;=$H269,1,IF(NETWORKDAYS($H269,$U269)-1&gt;IF($B269="Program",Checks!$B$7,Checks!$B$6),3,2)))))</f>
        <v/>
      </c>
      <c r="Y269" s="28">
        <f>IF(OR($Q269=0,$K269="",$K269=0,$AF269="Sprint"),0,IF(AND($B269="Project",$J269=""),0,IF(IF($B269="Program",$V269,$J269)&gt;$K269*(1+Checks!$B$8),3,IF(IF($B269="Program",$V269,$J269)&gt;$K269,2,IF(AND($B269="Program",OR($W269&gt;0,$V269=0)),0,1)))))</f>
        <v/>
      </c>
      <c r="Z269" s="28">
        <f>IF($A269="",0,IF($C269="Portfolio",1,IF(AND($B269="Project",$C269&lt;&gt;"",$C269&lt;&gt;"Outside the portfolio"),IFERROR(IF(AND(INDEX($B$6:$B$305,MATCH($C269,$A$6:$A$305,0))="Program",INDEX($C$6:$C$305,MATCH($C269,$A$6:$A$305,0))="Portfolio"),1,0),0),0)))</f>
        <v/>
      </c>
      <c r="AA269" s="28">
        <f>IF(AND($A269&lt;&gt;"",$E269="",OR($Q269=1,$D269="Proposed")),1,0)</f>
        <v/>
      </c>
      <c r="AB269" s="28">
        <f>IF(AND($A269&lt;&gt;"",$B269="Program",$F269="",$Q269=1),1,0)</f>
        <v/>
      </c>
      <c r="AC269" s="28">
        <f>IF(OR($A269="",$D269="Completed",$D269="Terminated"),0,IF($C269="",1,IF($C269="Portfolio",0,IF($C269="Outside the portfolio",IF($Q269=1,2,0),IF($B269="Project",IF(IFERROR(INDEX($B$6:$B$305,MATCH($C269,$A$6:$A$305,0)),"")="Program",0,1),1)))))</f>
        <v/>
      </c>
      <c r="AD269" s="28">
        <f>IF(AND($A269&lt;&gt;"",OR($M269="■ Red",$M269="◧ Amber"),$L269=""),1,0)</f>
        <v/>
      </c>
      <c r="AE269" s="28">
        <f>$AA269+$AB269+IF($AC269&gt;0,1,0)+$AD269+$AG269+$AH269</f>
        <v/>
      </c>
      <c r="AF269" s="25" t="n"/>
      <c r="AG269" s="28">
        <f>IF(AND($A269&lt;&gt;"",$K269&lt;&gt;"",$C269&lt;&gt;"Portfolio",$D269&lt;&gt;"Completed",$D269&lt;&gt;"Terminated"),1,0)</f>
        <v/>
      </c>
      <c r="AH269" s="28">
        <f>IF(AND($A269&lt;&gt;"",COUNTIF($A$6:$A$305,$A269)&gt;1),1,0)</f>
        <v/>
      </c>
      <c r="AI269" s="28">
        <f>IF(AND($A269&lt;&gt;"",$C269="Portfolio"),COUNTIFS($C$6:$C269,"Portfolio",$A$6:$A269,"&lt;&gt;"),"")</f>
        <v/>
      </c>
    </row>
    <row r="270">
      <c r="A270" s="25" t="n"/>
      <c r="B270" s="25" t="n"/>
      <c r="C270" s="25" t="n"/>
      <c r="D270" s="25" t="n"/>
      <c r="E270" s="25" t="n"/>
      <c r="F270" s="25" t="n"/>
      <c r="G270" s="25" t="n"/>
      <c r="H270" s="26" t="n"/>
      <c r="I270" s="26" t="n"/>
      <c r="J270" s="27" t="n"/>
      <c r="K270" s="27" t="n"/>
      <c r="L270" s="23" t="n"/>
      <c r="M270" s="28">
        <f>IF($A270="","",IF($D270="","Not read",IF($Q270=0,"Not counted",IF(MAX($X270,$Y270)=3,"■ Red",IF(MAX($X270,$Y270)=2,"◧ Amber",IF(MAX($X270,$Y270)=1,"□ On track","Not read"))))))</f>
        <v/>
      </c>
      <c r="N270" s="28">
        <f>IF(OR($A270="",$B270&lt;&gt;"Program"),"","■ "&amp;COUNTIFS($C$6:$C$305,$A270,$M$6:$M$305,"■ Red")&amp;" Red, ◧ "&amp;COUNTIFS($C$6:$C$305,$A270,$M$6:$M$305,"◧ Amber")&amp;" Amber")</f>
        <v/>
      </c>
      <c r="O270" s="29">
        <f>IF(OR($A270="",$E270=""),"",COUNTIFS($E$6:$E$305,$E270,$D$6:$D$305,"Active")+COUNTIFS($E$6:$E$305,$E270,$D$6:$D$305,"Paused"))</f>
        <v/>
      </c>
      <c r="P270" s="28">
        <f>IF($A270="","",IF($AE270=0,"○ Clear",IF($AA270=1,"△ No owner",IF($AC270=1,"△ Check Sits under",IF($AC270=2,"△ Outside the portfolio",IF($AB270=1,"△ No sponsor",IF($AH270=1,"△ Name used twice",IF($AG270=1,"△ Budget only counts under Portfolio","△ No variance note"))))))&amp;IF($AE270&gt;1," (+"&amp;($AE270-1)&amp;" more)","")))</f>
        <v/>
      </c>
      <c r="Q270" s="28">
        <f>IF(AND($A270&lt;&gt;"",OR($D270="Active",$D270="Paused")),1,0)</f>
        <v/>
      </c>
      <c r="R270" s="28">
        <f>IFERROR(INDEX($A$6:$A$305,MATCH(263,$S$6:$S$305,0)),"")</f>
        <v/>
      </c>
      <c r="S270" s="28">
        <f>IF(AND($A270&lt;&gt;"",$B270="Program"),COUNTIFS($B$6:$B270,"Program",$A$6:$A270,"&lt;&gt;"),"")</f>
        <v/>
      </c>
      <c r="T270" s="30">
        <f>IF(AND($A270&lt;&gt;"",$B270="Program"),SUMPRODUCT(MAX(($C$6:$C$305=$A270)*($B$6:$B$305="Project")*($D$6:$D$305&lt;&gt;"Proposed")*$I$6:$I$305)),0)</f>
        <v/>
      </c>
      <c r="U270" s="30">
        <f>IF($I270&lt;&gt;"",$I270,IF($T270&gt;0,$T270,""))</f>
        <v/>
      </c>
      <c r="V270" s="28">
        <f>IF(AND($A270&lt;&gt;"",$B270="Program"),SUMIFS($J$6:$J$305,$C$6:$C$305,$A270,$B$6:$B$305,"Project",$D$6:$D$305,"&lt;&gt;Proposed"),0)</f>
        <v/>
      </c>
      <c r="W270" s="28">
        <f>IF(AND($A270&lt;&gt;"",$B270="Program"),COUNTIFS($C$6:$C$305,$A270,$B$6:$B$305,"Project",$D$6:$D$305,"&lt;&gt;Proposed")-COUNTIFS($C$6:$C$305,$A270,$B$6:$B$305,"Project",$D$6:$D$305,"&lt;&gt;Proposed",$J$6:$J$305,"&gt;=0"),0)</f>
        <v/>
      </c>
      <c r="X270" s="28">
        <f>IF(OR($Q270=0,$H270="",$AF270="Sprint"),0,IF(AND($B270="Project",$H270&lt;TODAY()),3,IF($U270="",0,IF($U270&lt;=$H270,1,IF(NETWORKDAYS($H270,$U270)-1&gt;IF($B270="Program",Checks!$B$7,Checks!$B$6),3,2)))))</f>
        <v/>
      </c>
      <c r="Y270" s="28">
        <f>IF(OR($Q270=0,$K270="",$K270=0,$AF270="Sprint"),0,IF(AND($B270="Project",$J270=""),0,IF(IF($B270="Program",$V270,$J270)&gt;$K270*(1+Checks!$B$8),3,IF(IF($B270="Program",$V270,$J270)&gt;$K270,2,IF(AND($B270="Program",OR($W270&gt;0,$V270=0)),0,1)))))</f>
        <v/>
      </c>
      <c r="Z270" s="28">
        <f>IF($A270="",0,IF($C270="Portfolio",1,IF(AND($B270="Project",$C270&lt;&gt;"",$C270&lt;&gt;"Outside the portfolio"),IFERROR(IF(AND(INDEX($B$6:$B$305,MATCH($C270,$A$6:$A$305,0))="Program",INDEX($C$6:$C$305,MATCH($C270,$A$6:$A$305,0))="Portfolio"),1,0),0),0)))</f>
        <v/>
      </c>
      <c r="AA270" s="28">
        <f>IF(AND($A270&lt;&gt;"",$E270="",OR($Q270=1,$D270="Proposed")),1,0)</f>
        <v/>
      </c>
      <c r="AB270" s="28">
        <f>IF(AND($A270&lt;&gt;"",$B270="Program",$F270="",$Q270=1),1,0)</f>
        <v/>
      </c>
      <c r="AC270" s="28">
        <f>IF(OR($A270="",$D270="Completed",$D270="Terminated"),0,IF($C270="",1,IF($C270="Portfolio",0,IF($C270="Outside the portfolio",IF($Q270=1,2,0),IF($B270="Project",IF(IFERROR(INDEX($B$6:$B$305,MATCH($C270,$A$6:$A$305,0)),"")="Program",0,1),1)))))</f>
        <v/>
      </c>
      <c r="AD270" s="28">
        <f>IF(AND($A270&lt;&gt;"",OR($M270="■ Red",$M270="◧ Amber"),$L270=""),1,0)</f>
        <v/>
      </c>
      <c r="AE270" s="28">
        <f>$AA270+$AB270+IF($AC270&gt;0,1,0)+$AD270+$AG270+$AH270</f>
        <v/>
      </c>
      <c r="AF270" s="25" t="n"/>
      <c r="AG270" s="28">
        <f>IF(AND($A270&lt;&gt;"",$K270&lt;&gt;"",$C270&lt;&gt;"Portfolio",$D270&lt;&gt;"Completed",$D270&lt;&gt;"Terminated"),1,0)</f>
        <v/>
      </c>
      <c r="AH270" s="28">
        <f>IF(AND($A270&lt;&gt;"",COUNTIF($A$6:$A$305,$A270)&gt;1),1,0)</f>
        <v/>
      </c>
      <c r="AI270" s="28">
        <f>IF(AND($A270&lt;&gt;"",$C270="Portfolio"),COUNTIFS($C$6:$C270,"Portfolio",$A$6:$A270,"&lt;&gt;"),"")</f>
        <v/>
      </c>
    </row>
    <row r="271">
      <c r="A271" s="25" t="n"/>
      <c r="B271" s="25" t="n"/>
      <c r="C271" s="25" t="n"/>
      <c r="D271" s="25" t="n"/>
      <c r="E271" s="25" t="n"/>
      <c r="F271" s="25" t="n"/>
      <c r="G271" s="25" t="n"/>
      <c r="H271" s="26" t="n"/>
      <c r="I271" s="26" t="n"/>
      <c r="J271" s="27" t="n"/>
      <c r="K271" s="27" t="n"/>
      <c r="L271" s="23" t="n"/>
      <c r="M271" s="28">
        <f>IF($A271="","",IF($D271="","Not read",IF($Q271=0,"Not counted",IF(MAX($X271,$Y271)=3,"■ Red",IF(MAX($X271,$Y271)=2,"◧ Amber",IF(MAX($X271,$Y271)=1,"□ On track","Not read"))))))</f>
        <v/>
      </c>
      <c r="N271" s="28">
        <f>IF(OR($A271="",$B271&lt;&gt;"Program"),"","■ "&amp;COUNTIFS($C$6:$C$305,$A271,$M$6:$M$305,"■ Red")&amp;" Red, ◧ "&amp;COUNTIFS($C$6:$C$305,$A271,$M$6:$M$305,"◧ Amber")&amp;" Amber")</f>
        <v/>
      </c>
      <c r="O271" s="29">
        <f>IF(OR($A271="",$E271=""),"",COUNTIFS($E$6:$E$305,$E271,$D$6:$D$305,"Active")+COUNTIFS($E$6:$E$305,$E271,$D$6:$D$305,"Paused"))</f>
        <v/>
      </c>
      <c r="P271" s="28">
        <f>IF($A271="","",IF($AE271=0,"○ Clear",IF($AA271=1,"△ No owner",IF($AC271=1,"△ Check Sits under",IF($AC271=2,"△ Outside the portfolio",IF($AB271=1,"△ No sponsor",IF($AH271=1,"△ Name used twice",IF($AG271=1,"△ Budget only counts under Portfolio","△ No variance note"))))))&amp;IF($AE271&gt;1," (+"&amp;($AE271-1)&amp;" more)","")))</f>
        <v/>
      </c>
      <c r="Q271" s="28">
        <f>IF(AND($A271&lt;&gt;"",OR($D271="Active",$D271="Paused")),1,0)</f>
        <v/>
      </c>
      <c r="R271" s="28">
        <f>IFERROR(INDEX($A$6:$A$305,MATCH(264,$S$6:$S$305,0)),"")</f>
        <v/>
      </c>
      <c r="S271" s="28">
        <f>IF(AND($A271&lt;&gt;"",$B271="Program"),COUNTIFS($B$6:$B271,"Program",$A$6:$A271,"&lt;&gt;"),"")</f>
        <v/>
      </c>
      <c r="T271" s="30">
        <f>IF(AND($A271&lt;&gt;"",$B271="Program"),SUMPRODUCT(MAX(($C$6:$C$305=$A271)*($B$6:$B$305="Project")*($D$6:$D$305&lt;&gt;"Proposed")*$I$6:$I$305)),0)</f>
        <v/>
      </c>
      <c r="U271" s="30">
        <f>IF($I271&lt;&gt;"",$I271,IF($T271&gt;0,$T271,""))</f>
        <v/>
      </c>
      <c r="V271" s="28">
        <f>IF(AND($A271&lt;&gt;"",$B271="Program"),SUMIFS($J$6:$J$305,$C$6:$C$305,$A271,$B$6:$B$305,"Project",$D$6:$D$305,"&lt;&gt;Proposed"),0)</f>
        <v/>
      </c>
      <c r="W271" s="28">
        <f>IF(AND($A271&lt;&gt;"",$B271="Program"),COUNTIFS($C$6:$C$305,$A271,$B$6:$B$305,"Project",$D$6:$D$305,"&lt;&gt;Proposed")-COUNTIFS($C$6:$C$305,$A271,$B$6:$B$305,"Project",$D$6:$D$305,"&lt;&gt;Proposed",$J$6:$J$305,"&gt;=0"),0)</f>
        <v/>
      </c>
      <c r="X271" s="28">
        <f>IF(OR($Q271=0,$H271="",$AF271="Sprint"),0,IF(AND($B271="Project",$H271&lt;TODAY()),3,IF($U271="",0,IF($U271&lt;=$H271,1,IF(NETWORKDAYS($H271,$U271)-1&gt;IF($B271="Program",Checks!$B$7,Checks!$B$6),3,2)))))</f>
        <v/>
      </c>
      <c r="Y271" s="28">
        <f>IF(OR($Q271=0,$K271="",$K271=0,$AF271="Sprint"),0,IF(AND($B271="Project",$J271=""),0,IF(IF($B271="Program",$V271,$J271)&gt;$K271*(1+Checks!$B$8),3,IF(IF($B271="Program",$V271,$J271)&gt;$K271,2,IF(AND($B271="Program",OR($W271&gt;0,$V271=0)),0,1)))))</f>
        <v/>
      </c>
      <c r="Z271" s="28">
        <f>IF($A271="",0,IF($C271="Portfolio",1,IF(AND($B271="Project",$C271&lt;&gt;"",$C271&lt;&gt;"Outside the portfolio"),IFERROR(IF(AND(INDEX($B$6:$B$305,MATCH($C271,$A$6:$A$305,0))="Program",INDEX($C$6:$C$305,MATCH($C271,$A$6:$A$305,0))="Portfolio"),1,0),0),0)))</f>
        <v/>
      </c>
      <c r="AA271" s="28">
        <f>IF(AND($A271&lt;&gt;"",$E271="",OR($Q271=1,$D271="Proposed")),1,0)</f>
        <v/>
      </c>
      <c r="AB271" s="28">
        <f>IF(AND($A271&lt;&gt;"",$B271="Program",$F271="",$Q271=1),1,0)</f>
        <v/>
      </c>
      <c r="AC271" s="28">
        <f>IF(OR($A271="",$D271="Completed",$D271="Terminated"),0,IF($C271="",1,IF($C271="Portfolio",0,IF($C271="Outside the portfolio",IF($Q271=1,2,0),IF($B271="Project",IF(IFERROR(INDEX($B$6:$B$305,MATCH($C271,$A$6:$A$305,0)),"")="Program",0,1),1)))))</f>
        <v/>
      </c>
      <c r="AD271" s="28">
        <f>IF(AND($A271&lt;&gt;"",OR($M271="■ Red",$M271="◧ Amber"),$L271=""),1,0)</f>
        <v/>
      </c>
      <c r="AE271" s="28">
        <f>$AA271+$AB271+IF($AC271&gt;0,1,0)+$AD271+$AG271+$AH271</f>
        <v/>
      </c>
      <c r="AF271" s="25" t="n"/>
      <c r="AG271" s="28">
        <f>IF(AND($A271&lt;&gt;"",$K271&lt;&gt;"",$C271&lt;&gt;"Portfolio",$D271&lt;&gt;"Completed",$D271&lt;&gt;"Terminated"),1,0)</f>
        <v/>
      </c>
      <c r="AH271" s="28">
        <f>IF(AND($A271&lt;&gt;"",COUNTIF($A$6:$A$305,$A271)&gt;1),1,0)</f>
        <v/>
      </c>
      <c r="AI271" s="28">
        <f>IF(AND($A271&lt;&gt;"",$C271="Portfolio"),COUNTIFS($C$6:$C271,"Portfolio",$A$6:$A271,"&lt;&gt;"),"")</f>
        <v/>
      </c>
    </row>
    <row r="272">
      <c r="A272" s="25" t="n"/>
      <c r="B272" s="25" t="n"/>
      <c r="C272" s="25" t="n"/>
      <c r="D272" s="25" t="n"/>
      <c r="E272" s="25" t="n"/>
      <c r="F272" s="25" t="n"/>
      <c r="G272" s="25" t="n"/>
      <c r="H272" s="26" t="n"/>
      <c r="I272" s="26" t="n"/>
      <c r="J272" s="27" t="n"/>
      <c r="K272" s="27" t="n"/>
      <c r="L272" s="23" t="n"/>
      <c r="M272" s="28">
        <f>IF($A272="","",IF($D272="","Not read",IF($Q272=0,"Not counted",IF(MAX($X272,$Y272)=3,"■ Red",IF(MAX($X272,$Y272)=2,"◧ Amber",IF(MAX($X272,$Y272)=1,"□ On track","Not read"))))))</f>
        <v/>
      </c>
      <c r="N272" s="28">
        <f>IF(OR($A272="",$B272&lt;&gt;"Program"),"","■ "&amp;COUNTIFS($C$6:$C$305,$A272,$M$6:$M$305,"■ Red")&amp;" Red, ◧ "&amp;COUNTIFS($C$6:$C$305,$A272,$M$6:$M$305,"◧ Amber")&amp;" Amber")</f>
        <v/>
      </c>
      <c r="O272" s="29">
        <f>IF(OR($A272="",$E272=""),"",COUNTIFS($E$6:$E$305,$E272,$D$6:$D$305,"Active")+COUNTIFS($E$6:$E$305,$E272,$D$6:$D$305,"Paused"))</f>
        <v/>
      </c>
      <c r="P272" s="28">
        <f>IF($A272="","",IF($AE272=0,"○ Clear",IF($AA272=1,"△ No owner",IF($AC272=1,"△ Check Sits under",IF($AC272=2,"△ Outside the portfolio",IF($AB272=1,"△ No sponsor",IF($AH272=1,"△ Name used twice",IF($AG272=1,"△ Budget only counts under Portfolio","△ No variance note"))))))&amp;IF($AE272&gt;1," (+"&amp;($AE272-1)&amp;" more)","")))</f>
        <v/>
      </c>
      <c r="Q272" s="28">
        <f>IF(AND($A272&lt;&gt;"",OR($D272="Active",$D272="Paused")),1,0)</f>
        <v/>
      </c>
      <c r="R272" s="28">
        <f>IFERROR(INDEX($A$6:$A$305,MATCH(265,$S$6:$S$305,0)),"")</f>
        <v/>
      </c>
      <c r="S272" s="28">
        <f>IF(AND($A272&lt;&gt;"",$B272="Program"),COUNTIFS($B$6:$B272,"Program",$A$6:$A272,"&lt;&gt;"),"")</f>
        <v/>
      </c>
      <c r="T272" s="30">
        <f>IF(AND($A272&lt;&gt;"",$B272="Program"),SUMPRODUCT(MAX(($C$6:$C$305=$A272)*($B$6:$B$305="Project")*($D$6:$D$305&lt;&gt;"Proposed")*$I$6:$I$305)),0)</f>
        <v/>
      </c>
      <c r="U272" s="30">
        <f>IF($I272&lt;&gt;"",$I272,IF($T272&gt;0,$T272,""))</f>
        <v/>
      </c>
      <c r="V272" s="28">
        <f>IF(AND($A272&lt;&gt;"",$B272="Program"),SUMIFS($J$6:$J$305,$C$6:$C$305,$A272,$B$6:$B$305,"Project",$D$6:$D$305,"&lt;&gt;Proposed"),0)</f>
        <v/>
      </c>
      <c r="W272" s="28">
        <f>IF(AND($A272&lt;&gt;"",$B272="Program"),COUNTIFS($C$6:$C$305,$A272,$B$6:$B$305,"Project",$D$6:$D$305,"&lt;&gt;Proposed")-COUNTIFS($C$6:$C$305,$A272,$B$6:$B$305,"Project",$D$6:$D$305,"&lt;&gt;Proposed",$J$6:$J$305,"&gt;=0"),0)</f>
        <v/>
      </c>
      <c r="X272" s="28">
        <f>IF(OR($Q272=0,$H272="",$AF272="Sprint"),0,IF(AND($B272="Project",$H272&lt;TODAY()),3,IF($U272="",0,IF($U272&lt;=$H272,1,IF(NETWORKDAYS($H272,$U272)-1&gt;IF($B272="Program",Checks!$B$7,Checks!$B$6),3,2)))))</f>
        <v/>
      </c>
      <c r="Y272" s="28">
        <f>IF(OR($Q272=0,$K272="",$K272=0,$AF272="Sprint"),0,IF(AND($B272="Project",$J272=""),0,IF(IF($B272="Program",$V272,$J272)&gt;$K272*(1+Checks!$B$8),3,IF(IF($B272="Program",$V272,$J272)&gt;$K272,2,IF(AND($B272="Program",OR($W272&gt;0,$V272=0)),0,1)))))</f>
        <v/>
      </c>
      <c r="Z272" s="28">
        <f>IF($A272="",0,IF($C272="Portfolio",1,IF(AND($B272="Project",$C272&lt;&gt;"",$C272&lt;&gt;"Outside the portfolio"),IFERROR(IF(AND(INDEX($B$6:$B$305,MATCH($C272,$A$6:$A$305,0))="Program",INDEX($C$6:$C$305,MATCH($C272,$A$6:$A$305,0))="Portfolio"),1,0),0),0)))</f>
        <v/>
      </c>
      <c r="AA272" s="28">
        <f>IF(AND($A272&lt;&gt;"",$E272="",OR($Q272=1,$D272="Proposed")),1,0)</f>
        <v/>
      </c>
      <c r="AB272" s="28">
        <f>IF(AND($A272&lt;&gt;"",$B272="Program",$F272="",$Q272=1),1,0)</f>
        <v/>
      </c>
      <c r="AC272" s="28">
        <f>IF(OR($A272="",$D272="Completed",$D272="Terminated"),0,IF($C272="",1,IF($C272="Portfolio",0,IF($C272="Outside the portfolio",IF($Q272=1,2,0),IF($B272="Project",IF(IFERROR(INDEX($B$6:$B$305,MATCH($C272,$A$6:$A$305,0)),"")="Program",0,1),1)))))</f>
        <v/>
      </c>
      <c r="AD272" s="28">
        <f>IF(AND($A272&lt;&gt;"",OR($M272="■ Red",$M272="◧ Amber"),$L272=""),1,0)</f>
        <v/>
      </c>
      <c r="AE272" s="28">
        <f>$AA272+$AB272+IF($AC272&gt;0,1,0)+$AD272+$AG272+$AH272</f>
        <v/>
      </c>
      <c r="AF272" s="25" t="n"/>
      <c r="AG272" s="28">
        <f>IF(AND($A272&lt;&gt;"",$K272&lt;&gt;"",$C272&lt;&gt;"Portfolio",$D272&lt;&gt;"Completed",$D272&lt;&gt;"Terminated"),1,0)</f>
        <v/>
      </c>
      <c r="AH272" s="28">
        <f>IF(AND($A272&lt;&gt;"",COUNTIF($A$6:$A$305,$A272)&gt;1),1,0)</f>
        <v/>
      </c>
      <c r="AI272" s="28">
        <f>IF(AND($A272&lt;&gt;"",$C272="Portfolio"),COUNTIFS($C$6:$C272,"Portfolio",$A$6:$A272,"&lt;&gt;"),"")</f>
        <v/>
      </c>
    </row>
    <row r="273">
      <c r="A273" s="25" t="n"/>
      <c r="B273" s="25" t="n"/>
      <c r="C273" s="25" t="n"/>
      <c r="D273" s="25" t="n"/>
      <c r="E273" s="25" t="n"/>
      <c r="F273" s="25" t="n"/>
      <c r="G273" s="25" t="n"/>
      <c r="H273" s="26" t="n"/>
      <c r="I273" s="26" t="n"/>
      <c r="J273" s="27" t="n"/>
      <c r="K273" s="27" t="n"/>
      <c r="L273" s="23" t="n"/>
      <c r="M273" s="28">
        <f>IF($A273="","",IF($D273="","Not read",IF($Q273=0,"Not counted",IF(MAX($X273,$Y273)=3,"■ Red",IF(MAX($X273,$Y273)=2,"◧ Amber",IF(MAX($X273,$Y273)=1,"□ On track","Not read"))))))</f>
        <v/>
      </c>
      <c r="N273" s="28">
        <f>IF(OR($A273="",$B273&lt;&gt;"Program"),"","■ "&amp;COUNTIFS($C$6:$C$305,$A273,$M$6:$M$305,"■ Red")&amp;" Red, ◧ "&amp;COUNTIFS($C$6:$C$305,$A273,$M$6:$M$305,"◧ Amber")&amp;" Amber")</f>
        <v/>
      </c>
      <c r="O273" s="29">
        <f>IF(OR($A273="",$E273=""),"",COUNTIFS($E$6:$E$305,$E273,$D$6:$D$305,"Active")+COUNTIFS($E$6:$E$305,$E273,$D$6:$D$305,"Paused"))</f>
        <v/>
      </c>
      <c r="P273" s="28">
        <f>IF($A273="","",IF($AE273=0,"○ Clear",IF($AA273=1,"△ No owner",IF($AC273=1,"△ Check Sits under",IF($AC273=2,"△ Outside the portfolio",IF($AB273=1,"△ No sponsor",IF($AH273=1,"△ Name used twice",IF($AG273=1,"△ Budget only counts under Portfolio","△ No variance note"))))))&amp;IF($AE273&gt;1," (+"&amp;($AE273-1)&amp;" more)","")))</f>
        <v/>
      </c>
      <c r="Q273" s="28">
        <f>IF(AND($A273&lt;&gt;"",OR($D273="Active",$D273="Paused")),1,0)</f>
        <v/>
      </c>
      <c r="R273" s="28">
        <f>IFERROR(INDEX($A$6:$A$305,MATCH(266,$S$6:$S$305,0)),"")</f>
        <v/>
      </c>
      <c r="S273" s="28">
        <f>IF(AND($A273&lt;&gt;"",$B273="Program"),COUNTIFS($B$6:$B273,"Program",$A$6:$A273,"&lt;&gt;"),"")</f>
        <v/>
      </c>
      <c r="T273" s="30">
        <f>IF(AND($A273&lt;&gt;"",$B273="Program"),SUMPRODUCT(MAX(($C$6:$C$305=$A273)*($B$6:$B$305="Project")*($D$6:$D$305&lt;&gt;"Proposed")*$I$6:$I$305)),0)</f>
        <v/>
      </c>
      <c r="U273" s="30">
        <f>IF($I273&lt;&gt;"",$I273,IF($T273&gt;0,$T273,""))</f>
        <v/>
      </c>
      <c r="V273" s="28">
        <f>IF(AND($A273&lt;&gt;"",$B273="Program"),SUMIFS($J$6:$J$305,$C$6:$C$305,$A273,$B$6:$B$305,"Project",$D$6:$D$305,"&lt;&gt;Proposed"),0)</f>
        <v/>
      </c>
      <c r="W273" s="28">
        <f>IF(AND($A273&lt;&gt;"",$B273="Program"),COUNTIFS($C$6:$C$305,$A273,$B$6:$B$305,"Project",$D$6:$D$305,"&lt;&gt;Proposed")-COUNTIFS($C$6:$C$305,$A273,$B$6:$B$305,"Project",$D$6:$D$305,"&lt;&gt;Proposed",$J$6:$J$305,"&gt;=0"),0)</f>
        <v/>
      </c>
      <c r="X273" s="28">
        <f>IF(OR($Q273=0,$H273="",$AF273="Sprint"),0,IF(AND($B273="Project",$H273&lt;TODAY()),3,IF($U273="",0,IF($U273&lt;=$H273,1,IF(NETWORKDAYS($H273,$U273)-1&gt;IF($B273="Program",Checks!$B$7,Checks!$B$6),3,2)))))</f>
        <v/>
      </c>
      <c r="Y273" s="28">
        <f>IF(OR($Q273=0,$K273="",$K273=0,$AF273="Sprint"),0,IF(AND($B273="Project",$J273=""),0,IF(IF($B273="Program",$V273,$J273)&gt;$K273*(1+Checks!$B$8),3,IF(IF($B273="Program",$V273,$J273)&gt;$K273,2,IF(AND($B273="Program",OR($W273&gt;0,$V273=0)),0,1)))))</f>
        <v/>
      </c>
      <c r="Z273" s="28">
        <f>IF($A273="",0,IF($C273="Portfolio",1,IF(AND($B273="Project",$C273&lt;&gt;"",$C273&lt;&gt;"Outside the portfolio"),IFERROR(IF(AND(INDEX($B$6:$B$305,MATCH($C273,$A$6:$A$305,0))="Program",INDEX($C$6:$C$305,MATCH($C273,$A$6:$A$305,0))="Portfolio"),1,0),0),0)))</f>
        <v/>
      </c>
      <c r="AA273" s="28">
        <f>IF(AND($A273&lt;&gt;"",$E273="",OR($Q273=1,$D273="Proposed")),1,0)</f>
        <v/>
      </c>
      <c r="AB273" s="28">
        <f>IF(AND($A273&lt;&gt;"",$B273="Program",$F273="",$Q273=1),1,0)</f>
        <v/>
      </c>
      <c r="AC273" s="28">
        <f>IF(OR($A273="",$D273="Completed",$D273="Terminated"),0,IF($C273="",1,IF($C273="Portfolio",0,IF($C273="Outside the portfolio",IF($Q273=1,2,0),IF($B273="Project",IF(IFERROR(INDEX($B$6:$B$305,MATCH($C273,$A$6:$A$305,0)),"")="Program",0,1),1)))))</f>
        <v/>
      </c>
      <c r="AD273" s="28">
        <f>IF(AND($A273&lt;&gt;"",OR($M273="■ Red",$M273="◧ Amber"),$L273=""),1,0)</f>
        <v/>
      </c>
      <c r="AE273" s="28">
        <f>$AA273+$AB273+IF($AC273&gt;0,1,0)+$AD273+$AG273+$AH273</f>
        <v/>
      </c>
      <c r="AF273" s="25" t="n"/>
      <c r="AG273" s="28">
        <f>IF(AND($A273&lt;&gt;"",$K273&lt;&gt;"",$C273&lt;&gt;"Portfolio",$D273&lt;&gt;"Completed",$D273&lt;&gt;"Terminated"),1,0)</f>
        <v/>
      </c>
      <c r="AH273" s="28">
        <f>IF(AND($A273&lt;&gt;"",COUNTIF($A$6:$A$305,$A273)&gt;1),1,0)</f>
        <v/>
      </c>
      <c r="AI273" s="28">
        <f>IF(AND($A273&lt;&gt;"",$C273="Portfolio"),COUNTIFS($C$6:$C273,"Portfolio",$A$6:$A273,"&lt;&gt;"),"")</f>
        <v/>
      </c>
    </row>
    <row r="274">
      <c r="A274" s="25" t="n"/>
      <c r="B274" s="25" t="n"/>
      <c r="C274" s="25" t="n"/>
      <c r="D274" s="25" t="n"/>
      <c r="E274" s="25" t="n"/>
      <c r="F274" s="25" t="n"/>
      <c r="G274" s="25" t="n"/>
      <c r="H274" s="26" t="n"/>
      <c r="I274" s="26" t="n"/>
      <c r="J274" s="27" t="n"/>
      <c r="K274" s="27" t="n"/>
      <c r="L274" s="23" t="n"/>
      <c r="M274" s="28">
        <f>IF($A274="","",IF($D274="","Not read",IF($Q274=0,"Not counted",IF(MAX($X274,$Y274)=3,"■ Red",IF(MAX($X274,$Y274)=2,"◧ Amber",IF(MAX($X274,$Y274)=1,"□ On track","Not read"))))))</f>
        <v/>
      </c>
      <c r="N274" s="28">
        <f>IF(OR($A274="",$B274&lt;&gt;"Program"),"","■ "&amp;COUNTIFS($C$6:$C$305,$A274,$M$6:$M$305,"■ Red")&amp;" Red, ◧ "&amp;COUNTIFS($C$6:$C$305,$A274,$M$6:$M$305,"◧ Amber")&amp;" Amber")</f>
        <v/>
      </c>
      <c r="O274" s="29">
        <f>IF(OR($A274="",$E274=""),"",COUNTIFS($E$6:$E$305,$E274,$D$6:$D$305,"Active")+COUNTIFS($E$6:$E$305,$E274,$D$6:$D$305,"Paused"))</f>
        <v/>
      </c>
      <c r="P274" s="28">
        <f>IF($A274="","",IF($AE274=0,"○ Clear",IF($AA274=1,"△ No owner",IF($AC274=1,"△ Check Sits under",IF($AC274=2,"△ Outside the portfolio",IF($AB274=1,"△ No sponsor",IF($AH274=1,"△ Name used twice",IF($AG274=1,"△ Budget only counts under Portfolio","△ No variance note"))))))&amp;IF($AE274&gt;1," (+"&amp;($AE274-1)&amp;" more)","")))</f>
        <v/>
      </c>
      <c r="Q274" s="28">
        <f>IF(AND($A274&lt;&gt;"",OR($D274="Active",$D274="Paused")),1,0)</f>
        <v/>
      </c>
      <c r="R274" s="28">
        <f>IFERROR(INDEX($A$6:$A$305,MATCH(267,$S$6:$S$305,0)),"")</f>
        <v/>
      </c>
      <c r="S274" s="28">
        <f>IF(AND($A274&lt;&gt;"",$B274="Program"),COUNTIFS($B$6:$B274,"Program",$A$6:$A274,"&lt;&gt;"),"")</f>
        <v/>
      </c>
      <c r="T274" s="30">
        <f>IF(AND($A274&lt;&gt;"",$B274="Program"),SUMPRODUCT(MAX(($C$6:$C$305=$A274)*($B$6:$B$305="Project")*($D$6:$D$305&lt;&gt;"Proposed")*$I$6:$I$305)),0)</f>
        <v/>
      </c>
      <c r="U274" s="30">
        <f>IF($I274&lt;&gt;"",$I274,IF($T274&gt;0,$T274,""))</f>
        <v/>
      </c>
      <c r="V274" s="28">
        <f>IF(AND($A274&lt;&gt;"",$B274="Program"),SUMIFS($J$6:$J$305,$C$6:$C$305,$A274,$B$6:$B$305,"Project",$D$6:$D$305,"&lt;&gt;Proposed"),0)</f>
        <v/>
      </c>
      <c r="W274" s="28">
        <f>IF(AND($A274&lt;&gt;"",$B274="Program"),COUNTIFS($C$6:$C$305,$A274,$B$6:$B$305,"Project",$D$6:$D$305,"&lt;&gt;Proposed")-COUNTIFS($C$6:$C$305,$A274,$B$6:$B$305,"Project",$D$6:$D$305,"&lt;&gt;Proposed",$J$6:$J$305,"&gt;=0"),0)</f>
        <v/>
      </c>
      <c r="X274" s="28">
        <f>IF(OR($Q274=0,$H274="",$AF274="Sprint"),0,IF(AND($B274="Project",$H274&lt;TODAY()),3,IF($U274="",0,IF($U274&lt;=$H274,1,IF(NETWORKDAYS($H274,$U274)-1&gt;IF($B274="Program",Checks!$B$7,Checks!$B$6),3,2)))))</f>
        <v/>
      </c>
      <c r="Y274" s="28">
        <f>IF(OR($Q274=0,$K274="",$K274=0,$AF274="Sprint"),0,IF(AND($B274="Project",$J274=""),0,IF(IF($B274="Program",$V274,$J274)&gt;$K274*(1+Checks!$B$8),3,IF(IF($B274="Program",$V274,$J274)&gt;$K274,2,IF(AND($B274="Program",OR($W274&gt;0,$V274=0)),0,1)))))</f>
        <v/>
      </c>
      <c r="Z274" s="28">
        <f>IF($A274="",0,IF($C274="Portfolio",1,IF(AND($B274="Project",$C274&lt;&gt;"",$C274&lt;&gt;"Outside the portfolio"),IFERROR(IF(AND(INDEX($B$6:$B$305,MATCH($C274,$A$6:$A$305,0))="Program",INDEX($C$6:$C$305,MATCH($C274,$A$6:$A$305,0))="Portfolio"),1,0),0),0)))</f>
        <v/>
      </c>
      <c r="AA274" s="28">
        <f>IF(AND($A274&lt;&gt;"",$E274="",OR($Q274=1,$D274="Proposed")),1,0)</f>
        <v/>
      </c>
      <c r="AB274" s="28">
        <f>IF(AND($A274&lt;&gt;"",$B274="Program",$F274="",$Q274=1),1,0)</f>
        <v/>
      </c>
      <c r="AC274" s="28">
        <f>IF(OR($A274="",$D274="Completed",$D274="Terminated"),0,IF($C274="",1,IF($C274="Portfolio",0,IF($C274="Outside the portfolio",IF($Q274=1,2,0),IF($B274="Project",IF(IFERROR(INDEX($B$6:$B$305,MATCH($C274,$A$6:$A$305,0)),"")="Program",0,1),1)))))</f>
        <v/>
      </c>
      <c r="AD274" s="28">
        <f>IF(AND($A274&lt;&gt;"",OR($M274="■ Red",$M274="◧ Amber"),$L274=""),1,0)</f>
        <v/>
      </c>
      <c r="AE274" s="28">
        <f>$AA274+$AB274+IF($AC274&gt;0,1,0)+$AD274+$AG274+$AH274</f>
        <v/>
      </c>
      <c r="AF274" s="25" t="n"/>
      <c r="AG274" s="28">
        <f>IF(AND($A274&lt;&gt;"",$K274&lt;&gt;"",$C274&lt;&gt;"Portfolio",$D274&lt;&gt;"Completed",$D274&lt;&gt;"Terminated"),1,0)</f>
        <v/>
      </c>
      <c r="AH274" s="28">
        <f>IF(AND($A274&lt;&gt;"",COUNTIF($A$6:$A$305,$A274)&gt;1),1,0)</f>
        <v/>
      </c>
      <c r="AI274" s="28">
        <f>IF(AND($A274&lt;&gt;"",$C274="Portfolio"),COUNTIFS($C$6:$C274,"Portfolio",$A$6:$A274,"&lt;&gt;"),"")</f>
        <v/>
      </c>
    </row>
    <row r="275">
      <c r="A275" s="25" t="n"/>
      <c r="B275" s="25" t="n"/>
      <c r="C275" s="25" t="n"/>
      <c r="D275" s="25" t="n"/>
      <c r="E275" s="25" t="n"/>
      <c r="F275" s="25" t="n"/>
      <c r="G275" s="25" t="n"/>
      <c r="H275" s="26" t="n"/>
      <c r="I275" s="26" t="n"/>
      <c r="J275" s="27" t="n"/>
      <c r="K275" s="27" t="n"/>
      <c r="L275" s="23" t="n"/>
      <c r="M275" s="28">
        <f>IF($A275="","",IF($D275="","Not read",IF($Q275=0,"Not counted",IF(MAX($X275,$Y275)=3,"■ Red",IF(MAX($X275,$Y275)=2,"◧ Amber",IF(MAX($X275,$Y275)=1,"□ On track","Not read"))))))</f>
        <v/>
      </c>
      <c r="N275" s="28">
        <f>IF(OR($A275="",$B275&lt;&gt;"Program"),"","■ "&amp;COUNTIFS($C$6:$C$305,$A275,$M$6:$M$305,"■ Red")&amp;" Red, ◧ "&amp;COUNTIFS($C$6:$C$305,$A275,$M$6:$M$305,"◧ Amber")&amp;" Amber")</f>
        <v/>
      </c>
      <c r="O275" s="29">
        <f>IF(OR($A275="",$E275=""),"",COUNTIFS($E$6:$E$305,$E275,$D$6:$D$305,"Active")+COUNTIFS($E$6:$E$305,$E275,$D$6:$D$305,"Paused"))</f>
        <v/>
      </c>
      <c r="P275" s="28">
        <f>IF($A275="","",IF($AE275=0,"○ Clear",IF($AA275=1,"△ No owner",IF($AC275=1,"△ Check Sits under",IF($AC275=2,"△ Outside the portfolio",IF($AB275=1,"△ No sponsor",IF($AH275=1,"△ Name used twice",IF($AG275=1,"△ Budget only counts under Portfolio","△ No variance note"))))))&amp;IF($AE275&gt;1," (+"&amp;($AE275-1)&amp;" more)","")))</f>
        <v/>
      </c>
      <c r="Q275" s="28">
        <f>IF(AND($A275&lt;&gt;"",OR($D275="Active",$D275="Paused")),1,0)</f>
        <v/>
      </c>
      <c r="R275" s="28">
        <f>IFERROR(INDEX($A$6:$A$305,MATCH(268,$S$6:$S$305,0)),"")</f>
        <v/>
      </c>
      <c r="S275" s="28">
        <f>IF(AND($A275&lt;&gt;"",$B275="Program"),COUNTIFS($B$6:$B275,"Program",$A$6:$A275,"&lt;&gt;"),"")</f>
        <v/>
      </c>
      <c r="T275" s="30">
        <f>IF(AND($A275&lt;&gt;"",$B275="Program"),SUMPRODUCT(MAX(($C$6:$C$305=$A275)*($B$6:$B$305="Project")*($D$6:$D$305&lt;&gt;"Proposed")*$I$6:$I$305)),0)</f>
        <v/>
      </c>
      <c r="U275" s="30">
        <f>IF($I275&lt;&gt;"",$I275,IF($T275&gt;0,$T275,""))</f>
        <v/>
      </c>
      <c r="V275" s="28">
        <f>IF(AND($A275&lt;&gt;"",$B275="Program"),SUMIFS($J$6:$J$305,$C$6:$C$305,$A275,$B$6:$B$305,"Project",$D$6:$D$305,"&lt;&gt;Proposed"),0)</f>
        <v/>
      </c>
      <c r="W275" s="28">
        <f>IF(AND($A275&lt;&gt;"",$B275="Program"),COUNTIFS($C$6:$C$305,$A275,$B$6:$B$305,"Project",$D$6:$D$305,"&lt;&gt;Proposed")-COUNTIFS($C$6:$C$305,$A275,$B$6:$B$305,"Project",$D$6:$D$305,"&lt;&gt;Proposed",$J$6:$J$305,"&gt;=0"),0)</f>
        <v/>
      </c>
      <c r="X275" s="28">
        <f>IF(OR($Q275=0,$H275="",$AF275="Sprint"),0,IF(AND($B275="Project",$H275&lt;TODAY()),3,IF($U275="",0,IF($U275&lt;=$H275,1,IF(NETWORKDAYS($H275,$U275)-1&gt;IF($B275="Program",Checks!$B$7,Checks!$B$6),3,2)))))</f>
        <v/>
      </c>
      <c r="Y275" s="28">
        <f>IF(OR($Q275=0,$K275="",$K275=0,$AF275="Sprint"),0,IF(AND($B275="Project",$J275=""),0,IF(IF($B275="Program",$V275,$J275)&gt;$K275*(1+Checks!$B$8),3,IF(IF($B275="Program",$V275,$J275)&gt;$K275,2,IF(AND($B275="Program",OR($W275&gt;0,$V275=0)),0,1)))))</f>
        <v/>
      </c>
      <c r="Z275" s="28">
        <f>IF($A275="",0,IF($C275="Portfolio",1,IF(AND($B275="Project",$C275&lt;&gt;"",$C275&lt;&gt;"Outside the portfolio"),IFERROR(IF(AND(INDEX($B$6:$B$305,MATCH($C275,$A$6:$A$305,0))="Program",INDEX($C$6:$C$305,MATCH($C275,$A$6:$A$305,0))="Portfolio"),1,0),0),0)))</f>
        <v/>
      </c>
      <c r="AA275" s="28">
        <f>IF(AND($A275&lt;&gt;"",$E275="",OR($Q275=1,$D275="Proposed")),1,0)</f>
        <v/>
      </c>
      <c r="AB275" s="28">
        <f>IF(AND($A275&lt;&gt;"",$B275="Program",$F275="",$Q275=1),1,0)</f>
        <v/>
      </c>
      <c r="AC275" s="28">
        <f>IF(OR($A275="",$D275="Completed",$D275="Terminated"),0,IF($C275="",1,IF($C275="Portfolio",0,IF($C275="Outside the portfolio",IF($Q275=1,2,0),IF($B275="Project",IF(IFERROR(INDEX($B$6:$B$305,MATCH($C275,$A$6:$A$305,0)),"")="Program",0,1),1)))))</f>
        <v/>
      </c>
      <c r="AD275" s="28">
        <f>IF(AND($A275&lt;&gt;"",OR($M275="■ Red",$M275="◧ Amber"),$L275=""),1,0)</f>
        <v/>
      </c>
      <c r="AE275" s="28">
        <f>$AA275+$AB275+IF($AC275&gt;0,1,0)+$AD275+$AG275+$AH275</f>
        <v/>
      </c>
      <c r="AF275" s="25" t="n"/>
      <c r="AG275" s="28">
        <f>IF(AND($A275&lt;&gt;"",$K275&lt;&gt;"",$C275&lt;&gt;"Portfolio",$D275&lt;&gt;"Completed",$D275&lt;&gt;"Terminated"),1,0)</f>
        <v/>
      </c>
      <c r="AH275" s="28">
        <f>IF(AND($A275&lt;&gt;"",COUNTIF($A$6:$A$305,$A275)&gt;1),1,0)</f>
        <v/>
      </c>
      <c r="AI275" s="28">
        <f>IF(AND($A275&lt;&gt;"",$C275="Portfolio"),COUNTIFS($C$6:$C275,"Portfolio",$A$6:$A275,"&lt;&gt;"),"")</f>
        <v/>
      </c>
    </row>
    <row r="276">
      <c r="A276" s="25" t="n"/>
      <c r="B276" s="25" t="n"/>
      <c r="C276" s="25" t="n"/>
      <c r="D276" s="25" t="n"/>
      <c r="E276" s="25" t="n"/>
      <c r="F276" s="25" t="n"/>
      <c r="G276" s="25" t="n"/>
      <c r="H276" s="26" t="n"/>
      <c r="I276" s="26" t="n"/>
      <c r="J276" s="27" t="n"/>
      <c r="K276" s="27" t="n"/>
      <c r="L276" s="23" t="n"/>
      <c r="M276" s="28">
        <f>IF($A276="","",IF($D276="","Not read",IF($Q276=0,"Not counted",IF(MAX($X276,$Y276)=3,"■ Red",IF(MAX($X276,$Y276)=2,"◧ Amber",IF(MAX($X276,$Y276)=1,"□ On track","Not read"))))))</f>
        <v/>
      </c>
      <c r="N276" s="28">
        <f>IF(OR($A276="",$B276&lt;&gt;"Program"),"","■ "&amp;COUNTIFS($C$6:$C$305,$A276,$M$6:$M$305,"■ Red")&amp;" Red, ◧ "&amp;COUNTIFS($C$6:$C$305,$A276,$M$6:$M$305,"◧ Amber")&amp;" Amber")</f>
        <v/>
      </c>
      <c r="O276" s="29">
        <f>IF(OR($A276="",$E276=""),"",COUNTIFS($E$6:$E$305,$E276,$D$6:$D$305,"Active")+COUNTIFS($E$6:$E$305,$E276,$D$6:$D$305,"Paused"))</f>
        <v/>
      </c>
      <c r="P276" s="28">
        <f>IF($A276="","",IF($AE276=0,"○ Clear",IF($AA276=1,"△ No owner",IF($AC276=1,"△ Check Sits under",IF($AC276=2,"△ Outside the portfolio",IF($AB276=1,"△ No sponsor",IF($AH276=1,"△ Name used twice",IF($AG276=1,"△ Budget only counts under Portfolio","△ No variance note"))))))&amp;IF($AE276&gt;1," (+"&amp;($AE276-1)&amp;" more)","")))</f>
        <v/>
      </c>
      <c r="Q276" s="28">
        <f>IF(AND($A276&lt;&gt;"",OR($D276="Active",$D276="Paused")),1,0)</f>
        <v/>
      </c>
      <c r="R276" s="28">
        <f>IFERROR(INDEX($A$6:$A$305,MATCH(269,$S$6:$S$305,0)),"")</f>
        <v/>
      </c>
      <c r="S276" s="28">
        <f>IF(AND($A276&lt;&gt;"",$B276="Program"),COUNTIFS($B$6:$B276,"Program",$A$6:$A276,"&lt;&gt;"),"")</f>
        <v/>
      </c>
      <c r="T276" s="30">
        <f>IF(AND($A276&lt;&gt;"",$B276="Program"),SUMPRODUCT(MAX(($C$6:$C$305=$A276)*($B$6:$B$305="Project")*($D$6:$D$305&lt;&gt;"Proposed")*$I$6:$I$305)),0)</f>
        <v/>
      </c>
      <c r="U276" s="30">
        <f>IF($I276&lt;&gt;"",$I276,IF($T276&gt;0,$T276,""))</f>
        <v/>
      </c>
      <c r="V276" s="28">
        <f>IF(AND($A276&lt;&gt;"",$B276="Program"),SUMIFS($J$6:$J$305,$C$6:$C$305,$A276,$B$6:$B$305,"Project",$D$6:$D$305,"&lt;&gt;Proposed"),0)</f>
        <v/>
      </c>
      <c r="W276" s="28">
        <f>IF(AND($A276&lt;&gt;"",$B276="Program"),COUNTIFS($C$6:$C$305,$A276,$B$6:$B$305,"Project",$D$6:$D$305,"&lt;&gt;Proposed")-COUNTIFS($C$6:$C$305,$A276,$B$6:$B$305,"Project",$D$6:$D$305,"&lt;&gt;Proposed",$J$6:$J$305,"&gt;=0"),0)</f>
        <v/>
      </c>
      <c r="X276" s="28">
        <f>IF(OR($Q276=0,$H276="",$AF276="Sprint"),0,IF(AND($B276="Project",$H276&lt;TODAY()),3,IF($U276="",0,IF($U276&lt;=$H276,1,IF(NETWORKDAYS($H276,$U276)-1&gt;IF($B276="Program",Checks!$B$7,Checks!$B$6),3,2)))))</f>
        <v/>
      </c>
      <c r="Y276" s="28">
        <f>IF(OR($Q276=0,$K276="",$K276=0,$AF276="Sprint"),0,IF(AND($B276="Project",$J276=""),0,IF(IF($B276="Program",$V276,$J276)&gt;$K276*(1+Checks!$B$8),3,IF(IF($B276="Program",$V276,$J276)&gt;$K276,2,IF(AND($B276="Program",OR($W276&gt;0,$V276=0)),0,1)))))</f>
        <v/>
      </c>
      <c r="Z276" s="28">
        <f>IF($A276="",0,IF($C276="Portfolio",1,IF(AND($B276="Project",$C276&lt;&gt;"",$C276&lt;&gt;"Outside the portfolio"),IFERROR(IF(AND(INDEX($B$6:$B$305,MATCH($C276,$A$6:$A$305,0))="Program",INDEX($C$6:$C$305,MATCH($C276,$A$6:$A$305,0))="Portfolio"),1,0),0),0)))</f>
        <v/>
      </c>
      <c r="AA276" s="28">
        <f>IF(AND($A276&lt;&gt;"",$E276="",OR($Q276=1,$D276="Proposed")),1,0)</f>
        <v/>
      </c>
      <c r="AB276" s="28">
        <f>IF(AND($A276&lt;&gt;"",$B276="Program",$F276="",$Q276=1),1,0)</f>
        <v/>
      </c>
      <c r="AC276" s="28">
        <f>IF(OR($A276="",$D276="Completed",$D276="Terminated"),0,IF($C276="",1,IF($C276="Portfolio",0,IF($C276="Outside the portfolio",IF($Q276=1,2,0),IF($B276="Project",IF(IFERROR(INDEX($B$6:$B$305,MATCH($C276,$A$6:$A$305,0)),"")="Program",0,1),1)))))</f>
        <v/>
      </c>
      <c r="AD276" s="28">
        <f>IF(AND($A276&lt;&gt;"",OR($M276="■ Red",$M276="◧ Amber"),$L276=""),1,0)</f>
        <v/>
      </c>
      <c r="AE276" s="28">
        <f>$AA276+$AB276+IF($AC276&gt;0,1,0)+$AD276+$AG276+$AH276</f>
        <v/>
      </c>
      <c r="AF276" s="25" t="n"/>
      <c r="AG276" s="28">
        <f>IF(AND($A276&lt;&gt;"",$K276&lt;&gt;"",$C276&lt;&gt;"Portfolio",$D276&lt;&gt;"Completed",$D276&lt;&gt;"Terminated"),1,0)</f>
        <v/>
      </c>
      <c r="AH276" s="28">
        <f>IF(AND($A276&lt;&gt;"",COUNTIF($A$6:$A$305,$A276)&gt;1),1,0)</f>
        <v/>
      </c>
      <c r="AI276" s="28">
        <f>IF(AND($A276&lt;&gt;"",$C276="Portfolio"),COUNTIFS($C$6:$C276,"Portfolio",$A$6:$A276,"&lt;&gt;"),"")</f>
        <v/>
      </c>
    </row>
    <row r="277">
      <c r="A277" s="25" t="n"/>
      <c r="B277" s="25" t="n"/>
      <c r="C277" s="25" t="n"/>
      <c r="D277" s="25" t="n"/>
      <c r="E277" s="25" t="n"/>
      <c r="F277" s="25" t="n"/>
      <c r="G277" s="25" t="n"/>
      <c r="H277" s="26" t="n"/>
      <c r="I277" s="26" t="n"/>
      <c r="J277" s="27" t="n"/>
      <c r="K277" s="27" t="n"/>
      <c r="L277" s="23" t="n"/>
      <c r="M277" s="28">
        <f>IF($A277="","",IF($D277="","Not read",IF($Q277=0,"Not counted",IF(MAX($X277,$Y277)=3,"■ Red",IF(MAX($X277,$Y277)=2,"◧ Amber",IF(MAX($X277,$Y277)=1,"□ On track","Not read"))))))</f>
        <v/>
      </c>
      <c r="N277" s="28">
        <f>IF(OR($A277="",$B277&lt;&gt;"Program"),"","■ "&amp;COUNTIFS($C$6:$C$305,$A277,$M$6:$M$305,"■ Red")&amp;" Red, ◧ "&amp;COUNTIFS($C$6:$C$305,$A277,$M$6:$M$305,"◧ Amber")&amp;" Amber")</f>
        <v/>
      </c>
      <c r="O277" s="29">
        <f>IF(OR($A277="",$E277=""),"",COUNTIFS($E$6:$E$305,$E277,$D$6:$D$305,"Active")+COUNTIFS($E$6:$E$305,$E277,$D$6:$D$305,"Paused"))</f>
        <v/>
      </c>
      <c r="P277" s="28">
        <f>IF($A277="","",IF($AE277=0,"○ Clear",IF($AA277=1,"△ No owner",IF($AC277=1,"△ Check Sits under",IF($AC277=2,"△ Outside the portfolio",IF($AB277=1,"△ No sponsor",IF($AH277=1,"△ Name used twice",IF($AG277=1,"△ Budget only counts under Portfolio","△ No variance note"))))))&amp;IF($AE277&gt;1," (+"&amp;($AE277-1)&amp;" more)","")))</f>
        <v/>
      </c>
      <c r="Q277" s="28">
        <f>IF(AND($A277&lt;&gt;"",OR($D277="Active",$D277="Paused")),1,0)</f>
        <v/>
      </c>
      <c r="R277" s="28">
        <f>IFERROR(INDEX($A$6:$A$305,MATCH(270,$S$6:$S$305,0)),"")</f>
        <v/>
      </c>
      <c r="S277" s="28">
        <f>IF(AND($A277&lt;&gt;"",$B277="Program"),COUNTIFS($B$6:$B277,"Program",$A$6:$A277,"&lt;&gt;"),"")</f>
        <v/>
      </c>
      <c r="T277" s="30">
        <f>IF(AND($A277&lt;&gt;"",$B277="Program"),SUMPRODUCT(MAX(($C$6:$C$305=$A277)*($B$6:$B$305="Project")*($D$6:$D$305&lt;&gt;"Proposed")*$I$6:$I$305)),0)</f>
        <v/>
      </c>
      <c r="U277" s="30">
        <f>IF($I277&lt;&gt;"",$I277,IF($T277&gt;0,$T277,""))</f>
        <v/>
      </c>
      <c r="V277" s="28">
        <f>IF(AND($A277&lt;&gt;"",$B277="Program"),SUMIFS($J$6:$J$305,$C$6:$C$305,$A277,$B$6:$B$305,"Project",$D$6:$D$305,"&lt;&gt;Proposed"),0)</f>
        <v/>
      </c>
      <c r="W277" s="28">
        <f>IF(AND($A277&lt;&gt;"",$B277="Program"),COUNTIFS($C$6:$C$305,$A277,$B$6:$B$305,"Project",$D$6:$D$305,"&lt;&gt;Proposed")-COUNTIFS($C$6:$C$305,$A277,$B$6:$B$305,"Project",$D$6:$D$305,"&lt;&gt;Proposed",$J$6:$J$305,"&gt;=0"),0)</f>
        <v/>
      </c>
      <c r="X277" s="28">
        <f>IF(OR($Q277=0,$H277="",$AF277="Sprint"),0,IF(AND($B277="Project",$H277&lt;TODAY()),3,IF($U277="",0,IF($U277&lt;=$H277,1,IF(NETWORKDAYS($H277,$U277)-1&gt;IF($B277="Program",Checks!$B$7,Checks!$B$6),3,2)))))</f>
        <v/>
      </c>
      <c r="Y277" s="28">
        <f>IF(OR($Q277=0,$K277="",$K277=0,$AF277="Sprint"),0,IF(AND($B277="Project",$J277=""),0,IF(IF($B277="Program",$V277,$J277)&gt;$K277*(1+Checks!$B$8),3,IF(IF($B277="Program",$V277,$J277)&gt;$K277,2,IF(AND($B277="Program",OR($W277&gt;0,$V277=0)),0,1)))))</f>
        <v/>
      </c>
      <c r="Z277" s="28">
        <f>IF($A277="",0,IF($C277="Portfolio",1,IF(AND($B277="Project",$C277&lt;&gt;"",$C277&lt;&gt;"Outside the portfolio"),IFERROR(IF(AND(INDEX($B$6:$B$305,MATCH($C277,$A$6:$A$305,0))="Program",INDEX($C$6:$C$305,MATCH($C277,$A$6:$A$305,0))="Portfolio"),1,0),0),0)))</f>
        <v/>
      </c>
      <c r="AA277" s="28">
        <f>IF(AND($A277&lt;&gt;"",$E277="",OR($Q277=1,$D277="Proposed")),1,0)</f>
        <v/>
      </c>
      <c r="AB277" s="28">
        <f>IF(AND($A277&lt;&gt;"",$B277="Program",$F277="",$Q277=1),1,0)</f>
        <v/>
      </c>
      <c r="AC277" s="28">
        <f>IF(OR($A277="",$D277="Completed",$D277="Terminated"),0,IF($C277="",1,IF($C277="Portfolio",0,IF($C277="Outside the portfolio",IF($Q277=1,2,0),IF($B277="Project",IF(IFERROR(INDEX($B$6:$B$305,MATCH($C277,$A$6:$A$305,0)),"")="Program",0,1),1)))))</f>
        <v/>
      </c>
      <c r="AD277" s="28">
        <f>IF(AND($A277&lt;&gt;"",OR($M277="■ Red",$M277="◧ Amber"),$L277=""),1,0)</f>
        <v/>
      </c>
      <c r="AE277" s="28">
        <f>$AA277+$AB277+IF($AC277&gt;0,1,0)+$AD277+$AG277+$AH277</f>
        <v/>
      </c>
      <c r="AF277" s="25" t="n"/>
      <c r="AG277" s="28">
        <f>IF(AND($A277&lt;&gt;"",$K277&lt;&gt;"",$C277&lt;&gt;"Portfolio",$D277&lt;&gt;"Completed",$D277&lt;&gt;"Terminated"),1,0)</f>
        <v/>
      </c>
      <c r="AH277" s="28">
        <f>IF(AND($A277&lt;&gt;"",COUNTIF($A$6:$A$305,$A277)&gt;1),1,0)</f>
        <v/>
      </c>
      <c r="AI277" s="28">
        <f>IF(AND($A277&lt;&gt;"",$C277="Portfolio"),COUNTIFS($C$6:$C277,"Portfolio",$A$6:$A277,"&lt;&gt;"),"")</f>
        <v/>
      </c>
    </row>
    <row r="278">
      <c r="A278" s="25" t="n"/>
      <c r="B278" s="25" t="n"/>
      <c r="C278" s="25" t="n"/>
      <c r="D278" s="25" t="n"/>
      <c r="E278" s="25" t="n"/>
      <c r="F278" s="25" t="n"/>
      <c r="G278" s="25" t="n"/>
      <c r="H278" s="26" t="n"/>
      <c r="I278" s="26" t="n"/>
      <c r="J278" s="27" t="n"/>
      <c r="K278" s="27" t="n"/>
      <c r="L278" s="23" t="n"/>
      <c r="M278" s="28">
        <f>IF($A278="","",IF($D278="","Not read",IF($Q278=0,"Not counted",IF(MAX($X278,$Y278)=3,"■ Red",IF(MAX($X278,$Y278)=2,"◧ Amber",IF(MAX($X278,$Y278)=1,"□ On track","Not read"))))))</f>
        <v/>
      </c>
      <c r="N278" s="28">
        <f>IF(OR($A278="",$B278&lt;&gt;"Program"),"","■ "&amp;COUNTIFS($C$6:$C$305,$A278,$M$6:$M$305,"■ Red")&amp;" Red, ◧ "&amp;COUNTIFS($C$6:$C$305,$A278,$M$6:$M$305,"◧ Amber")&amp;" Amber")</f>
        <v/>
      </c>
      <c r="O278" s="29">
        <f>IF(OR($A278="",$E278=""),"",COUNTIFS($E$6:$E$305,$E278,$D$6:$D$305,"Active")+COUNTIFS($E$6:$E$305,$E278,$D$6:$D$305,"Paused"))</f>
        <v/>
      </c>
      <c r="P278" s="28">
        <f>IF($A278="","",IF($AE278=0,"○ Clear",IF($AA278=1,"△ No owner",IF($AC278=1,"△ Check Sits under",IF($AC278=2,"△ Outside the portfolio",IF($AB278=1,"△ No sponsor",IF($AH278=1,"△ Name used twice",IF($AG278=1,"△ Budget only counts under Portfolio","△ No variance note"))))))&amp;IF($AE278&gt;1," (+"&amp;($AE278-1)&amp;" more)","")))</f>
        <v/>
      </c>
      <c r="Q278" s="28">
        <f>IF(AND($A278&lt;&gt;"",OR($D278="Active",$D278="Paused")),1,0)</f>
        <v/>
      </c>
      <c r="R278" s="28">
        <f>IFERROR(INDEX($A$6:$A$305,MATCH(271,$S$6:$S$305,0)),"")</f>
        <v/>
      </c>
      <c r="S278" s="28">
        <f>IF(AND($A278&lt;&gt;"",$B278="Program"),COUNTIFS($B$6:$B278,"Program",$A$6:$A278,"&lt;&gt;"),"")</f>
        <v/>
      </c>
      <c r="T278" s="30">
        <f>IF(AND($A278&lt;&gt;"",$B278="Program"),SUMPRODUCT(MAX(($C$6:$C$305=$A278)*($B$6:$B$305="Project")*($D$6:$D$305&lt;&gt;"Proposed")*$I$6:$I$305)),0)</f>
        <v/>
      </c>
      <c r="U278" s="30">
        <f>IF($I278&lt;&gt;"",$I278,IF($T278&gt;0,$T278,""))</f>
        <v/>
      </c>
      <c r="V278" s="28">
        <f>IF(AND($A278&lt;&gt;"",$B278="Program"),SUMIFS($J$6:$J$305,$C$6:$C$305,$A278,$B$6:$B$305,"Project",$D$6:$D$305,"&lt;&gt;Proposed"),0)</f>
        <v/>
      </c>
      <c r="W278" s="28">
        <f>IF(AND($A278&lt;&gt;"",$B278="Program"),COUNTIFS($C$6:$C$305,$A278,$B$6:$B$305,"Project",$D$6:$D$305,"&lt;&gt;Proposed")-COUNTIFS($C$6:$C$305,$A278,$B$6:$B$305,"Project",$D$6:$D$305,"&lt;&gt;Proposed",$J$6:$J$305,"&gt;=0"),0)</f>
        <v/>
      </c>
      <c r="X278" s="28">
        <f>IF(OR($Q278=0,$H278="",$AF278="Sprint"),0,IF(AND($B278="Project",$H278&lt;TODAY()),3,IF($U278="",0,IF($U278&lt;=$H278,1,IF(NETWORKDAYS($H278,$U278)-1&gt;IF($B278="Program",Checks!$B$7,Checks!$B$6),3,2)))))</f>
        <v/>
      </c>
      <c r="Y278" s="28">
        <f>IF(OR($Q278=0,$K278="",$K278=0,$AF278="Sprint"),0,IF(AND($B278="Project",$J278=""),0,IF(IF($B278="Program",$V278,$J278)&gt;$K278*(1+Checks!$B$8),3,IF(IF($B278="Program",$V278,$J278)&gt;$K278,2,IF(AND($B278="Program",OR($W278&gt;0,$V278=0)),0,1)))))</f>
        <v/>
      </c>
      <c r="Z278" s="28">
        <f>IF($A278="",0,IF($C278="Portfolio",1,IF(AND($B278="Project",$C278&lt;&gt;"",$C278&lt;&gt;"Outside the portfolio"),IFERROR(IF(AND(INDEX($B$6:$B$305,MATCH($C278,$A$6:$A$305,0))="Program",INDEX($C$6:$C$305,MATCH($C278,$A$6:$A$305,0))="Portfolio"),1,0),0),0)))</f>
        <v/>
      </c>
      <c r="AA278" s="28">
        <f>IF(AND($A278&lt;&gt;"",$E278="",OR($Q278=1,$D278="Proposed")),1,0)</f>
        <v/>
      </c>
      <c r="AB278" s="28">
        <f>IF(AND($A278&lt;&gt;"",$B278="Program",$F278="",$Q278=1),1,0)</f>
        <v/>
      </c>
      <c r="AC278" s="28">
        <f>IF(OR($A278="",$D278="Completed",$D278="Terminated"),0,IF($C278="",1,IF($C278="Portfolio",0,IF($C278="Outside the portfolio",IF($Q278=1,2,0),IF($B278="Project",IF(IFERROR(INDEX($B$6:$B$305,MATCH($C278,$A$6:$A$305,0)),"")="Program",0,1),1)))))</f>
        <v/>
      </c>
      <c r="AD278" s="28">
        <f>IF(AND($A278&lt;&gt;"",OR($M278="■ Red",$M278="◧ Amber"),$L278=""),1,0)</f>
        <v/>
      </c>
      <c r="AE278" s="28">
        <f>$AA278+$AB278+IF($AC278&gt;0,1,0)+$AD278+$AG278+$AH278</f>
        <v/>
      </c>
      <c r="AF278" s="25" t="n"/>
      <c r="AG278" s="28">
        <f>IF(AND($A278&lt;&gt;"",$K278&lt;&gt;"",$C278&lt;&gt;"Portfolio",$D278&lt;&gt;"Completed",$D278&lt;&gt;"Terminated"),1,0)</f>
        <v/>
      </c>
      <c r="AH278" s="28">
        <f>IF(AND($A278&lt;&gt;"",COUNTIF($A$6:$A$305,$A278)&gt;1),1,0)</f>
        <v/>
      </c>
      <c r="AI278" s="28">
        <f>IF(AND($A278&lt;&gt;"",$C278="Portfolio"),COUNTIFS($C$6:$C278,"Portfolio",$A$6:$A278,"&lt;&gt;"),"")</f>
        <v/>
      </c>
    </row>
    <row r="279">
      <c r="A279" s="25" t="n"/>
      <c r="B279" s="25" t="n"/>
      <c r="C279" s="25" t="n"/>
      <c r="D279" s="25" t="n"/>
      <c r="E279" s="25" t="n"/>
      <c r="F279" s="25" t="n"/>
      <c r="G279" s="25" t="n"/>
      <c r="H279" s="26" t="n"/>
      <c r="I279" s="26" t="n"/>
      <c r="J279" s="27" t="n"/>
      <c r="K279" s="27" t="n"/>
      <c r="L279" s="23" t="n"/>
      <c r="M279" s="28">
        <f>IF($A279="","",IF($D279="","Not read",IF($Q279=0,"Not counted",IF(MAX($X279,$Y279)=3,"■ Red",IF(MAX($X279,$Y279)=2,"◧ Amber",IF(MAX($X279,$Y279)=1,"□ On track","Not read"))))))</f>
        <v/>
      </c>
      <c r="N279" s="28">
        <f>IF(OR($A279="",$B279&lt;&gt;"Program"),"","■ "&amp;COUNTIFS($C$6:$C$305,$A279,$M$6:$M$305,"■ Red")&amp;" Red, ◧ "&amp;COUNTIFS($C$6:$C$305,$A279,$M$6:$M$305,"◧ Amber")&amp;" Amber")</f>
        <v/>
      </c>
      <c r="O279" s="29">
        <f>IF(OR($A279="",$E279=""),"",COUNTIFS($E$6:$E$305,$E279,$D$6:$D$305,"Active")+COUNTIFS($E$6:$E$305,$E279,$D$6:$D$305,"Paused"))</f>
        <v/>
      </c>
      <c r="P279" s="28">
        <f>IF($A279="","",IF($AE279=0,"○ Clear",IF($AA279=1,"△ No owner",IF($AC279=1,"△ Check Sits under",IF($AC279=2,"△ Outside the portfolio",IF($AB279=1,"△ No sponsor",IF($AH279=1,"△ Name used twice",IF($AG279=1,"△ Budget only counts under Portfolio","△ No variance note"))))))&amp;IF($AE279&gt;1," (+"&amp;($AE279-1)&amp;" more)","")))</f>
        <v/>
      </c>
      <c r="Q279" s="28">
        <f>IF(AND($A279&lt;&gt;"",OR($D279="Active",$D279="Paused")),1,0)</f>
        <v/>
      </c>
      <c r="R279" s="28">
        <f>IFERROR(INDEX($A$6:$A$305,MATCH(272,$S$6:$S$305,0)),"")</f>
        <v/>
      </c>
      <c r="S279" s="28">
        <f>IF(AND($A279&lt;&gt;"",$B279="Program"),COUNTIFS($B$6:$B279,"Program",$A$6:$A279,"&lt;&gt;"),"")</f>
        <v/>
      </c>
      <c r="T279" s="30">
        <f>IF(AND($A279&lt;&gt;"",$B279="Program"),SUMPRODUCT(MAX(($C$6:$C$305=$A279)*($B$6:$B$305="Project")*($D$6:$D$305&lt;&gt;"Proposed")*$I$6:$I$305)),0)</f>
        <v/>
      </c>
      <c r="U279" s="30">
        <f>IF($I279&lt;&gt;"",$I279,IF($T279&gt;0,$T279,""))</f>
        <v/>
      </c>
      <c r="V279" s="28">
        <f>IF(AND($A279&lt;&gt;"",$B279="Program"),SUMIFS($J$6:$J$305,$C$6:$C$305,$A279,$B$6:$B$305,"Project",$D$6:$D$305,"&lt;&gt;Proposed"),0)</f>
        <v/>
      </c>
      <c r="W279" s="28">
        <f>IF(AND($A279&lt;&gt;"",$B279="Program"),COUNTIFS($C$6:$C$305,$A279,$B$6:$B$305,"Project",$D$6:$D$305,"&lt;&gt;Proposed")-COUNTIFS($C$6:$C$305,$A279,$B$6:$B$305,"Project",$D$6:$D$305,"&lt;&gt;Proposed",$J$6:$J$305,"&gt;=0"),0)</f>
        <v/>
      </c>
      <c r="X279" s="28">
        <f>IF(OR($Q279=0,$H279="",$AF279="Sprint"),0,IF(AND($B279="Project",$H279&lt;TODAY()),3,IF($U279="",0,IF($U279&lt;=$H279,1,IF(NETWORKDAYS($H279,$U279)-1&gt;IF($B279="Program",Checks!$B$7,Checks!$B$6),3,2)))))</f>
        <v/>
      </c>
      <c r="Y279" s="28">
        <f>IF(OR($Q279=0,$K279="",$K279=0,$AF279="Sprint"),0,IF(AND($B279="Project",$J279=""),0,IF(IF($B279="Program",$V279,$J279)&gt;$K279*(1+Checks!$B$8),3,IF(IF($B279="Program",$V279,$J279)&gt;$K279,2,IF(AND($B279="Program",OR($W279&gt;0,$V279=0)),0,1)))))</f>
        <v/>
      </c>
      <c r="Z279" s="28">
        <f>IF($A279="",0,IF($C279="Portfolio",1,IF(AND($B279="Project",$C279&lt;&gt;"",$C279&lt;&gt;"Outside the portfolio"),IFERROR(IF(AND(INDEX($B$6:$B$305,MATCH($C279,$A$6:$A$305,0))="Program",INDEX($C$6:$C$305,MATCH($C279,$A$6:$A$305,0))="Portfolio"),1,0),0),0)))</f>
        <v/>
      </c>
      <c r="AA279" s="28">
        <f>IF(AND($A279&lt;&gt;"",$E279="",OR($Q279=1,$D279="Proposed")),1,0)</f>
        <v/>
      </c>
      <c r="AB279" s="28">
        <f>IF(AND($A279&lt;&gt;"",$B279="Program",$F279="",$Q279=1),1,0)</f>
        <v/>
      </c>
      <c r="AC279" s="28">
        <f>IF(OR($A279="",$D279="Completed",$D279="Terminated"),0,IF($C279="",1,IF($C279="Portfolio",0,IF($C279="Outside the portfolio",IF($Q279=1,2,0),IF($B279="Project",IF(IFERROR(INDEX($B$6:$B$305,MATCH($C279,$A$6:$A$305,0)),"")="Program",0,1),1)))))</f>
        <v/>
      </c>
      <c r="AD279" s="28">
        <f>IF(AND($A279&lt;&gt;"",OR($M279="■ Red",$M279="◧ Amber"),$L279=""),1,0)</f>
        <v/>
      </c>
      <c r="AE279" s="28">
        <f>$AA279+$AB279+IF($AC279&gt;0,1,0)+$AD279+$AG279+$AH279</f>
        <v/>
      </c>
      <c r="AF279" s="25" t="n"/>
      <c r="AG279" s="28">
        <f>IF(AND($A279&lt;&gt;"",$K279&lt;&gt;"",$C279&lt;&gt;"Portfolio",$D279&lt;&gt;"Completed",$D279&lt;&gt;"Terminated"),1,0)</f>
        <v/>
      </c>
      <c r="AH279" s="28">
        <f>IF(AND($A279&lt;&gt;"",COUNTIF($A$6:$A$305,$A279)&gt;1),1,0)</f>
        <v/>
      </c>
      <c r="AI279" s="28">
        <f>IF(AND($A279&lt;&gt;"",$C279="Portfolio"),COUNTIFS($C$6:$C279,"Portfolio",$A$6:$A279,"&lt;&gt;"),"")</f>
        <v/>
      </c>
    </row>
    <row r="280">
      <c r="A280" s="25" t="n"/>
      <c r="B280" s="25" t="n"/>
      <c r="C280" s="25" t="n"/>
      <c r="D280" s="25" t="n"/>
      <c r="E280" s="25" t="n"/>
      <c r="F280" s="25" t="n"/>
      <c r="G280" s="25" t="n"/>
      <c r="H280" s="26" t="n"/>
      <c r="I280" s="26" t="n"/>
      <c r="J280" s="27" t="n"/>
      <c r="K280" s="27" t="n"/>
      <c r="L280" s="23" t="n"/>
      <c r="M280" s="28">
        <f>IF($A280="","",IF($D280="","Not read",IF($Q280=0,"Not counted",IF(MAX($X280,$Y280)=3,"■ Red",IF(MAX($X280,$Y280)=2,"◧ Amber",IF(MAX($X280,$Y280)=1,"□ On track","Not read"))))))</f>
        <v/>
      </c>
      <c r="N280" s="28">
        <f>IF(OR($A280="",$B280&lt;&gt;"Program"),"","■ "&amp;COUNTIFS($C$6:$C$305,$A280,$M$6:$M$305,"■ Red")&amp;" Red, ◧ "&amp;COUNTIFS($C$6:$C$305,$A280,$M$6:$M$305,"◧ Amber")&amp;" Amber")</f>
        <v/>
      </c>
      <c r="O280" s="29">
        <f>IF(OR($A280="",$E280=""),"",COUNTIFS($E$6:$E$305,$E280,$D$6:$D$305,"Active")+COUNTIFS($E$6:$E$305,$E280,$D$6:$D$305,"Paused"))</f>
        <v/>
      </c>
      <c r="P280" s="28">
        <f>IF($A280="","",IF($AE280=0,"○ Clear",IF($AA280=1,"△ No owner",IF($AC280=1,"△ Check Sits under",IF($AC280=2,"△ Outside the portfolio",IF($AB280=1,"△ No sponsor",IF($AH280=1,"△ Name used twice",IF($AG280=1,"△ Budget only counts under Portfolio","△ No variance note"))))))&amp;IF($AE280&gt;1," (+"&amp;($AE280-1)&amp;" more)","")))</f>
        <v/>
      </c>
      <c r="Q280" s="28">
        <f>IF(AND($A280&lt;&gt;"",OR($D280="Active",$D280="Paused")),1,0)</f>
        <v/>
      </c>
      <c r="R280" s="28">
        <f>IFERROR(INDEX($A$6:$A$305,MATCH(273,$S$6:$S$305,0)),"")</f>
        <v/>
      </c>
      <c r="S280" s="28">
        <f>IF(AND($A280&lt;&gt;"",$B280="Program"),COUNTIFS($B$6:$B280,"Program",$A$6:$A280,"&lt;&gt;"),"")</f>
        <v/>
      </c>
      <c r="T280" s="30">
        <f>IF(AND($A280&lt;&gt;"",$B280="Program"),SUMPRODUCT(MAX(($C$6:$C$305=$A280)*($B$6:$B$305="Project")*($D$6:$D$305&lt;&gt;"Proposed")*$I$6:$I$305)),0)</f>
        <v/>
      </c>
      <c r="U280" s="30">
        <f>IF($I280&lt;&gt;"",$I280,IF($T280&gt;0,$T280,""))</f>
        <v/>
      </c>
      <c r="V280" s="28">
        <f>IF(AND($A280&lt;&gt;"",$B280="Program"),SUMIFS($J$6:$J$305,$C$6:$C$305,$A280,$B$6:$B$305,"Project",$D$6:$D$305,"&lt;&gt;Proposed"),0)</f>
        <v/>
      </c>
      <c r="W280" s="28">
        <f>IF(AND($A280&lt;&gt;"",$B280="Program"),COUNTIFS($C$6:$C$305,$A280,$B$6:$B$305,"Project",$D$6:$D$305,"&lt;&gt;Proposed")-COUNTIFS($C$6:$C$305,$A280,$B$6:$B$305,"Project",$D$6:$D$305,"&lt;&gt;Proposed",$J$6:$J$305,"&gt;=0"),0)</f>
        <v/>
      </c>
      <c r="X280" s="28">
        <f>IF(OR($Q280=0,$H280="",$AF280="Sprint"),0,IF(AND($B280="Project",$H280&lt;TODAY()),3,IF($U280="",0,IF($U280&lt;=$H280,1,IF(NETWORKDAYS($H280,$U280)-1&gt;IF($B280="Program",Checks!$B$7,Checks!$B$6),3,2)))))</f>
        <v/>
      </c>
      <c r="Y280" s="28">
        <f>IF(OR($Q280=0,$K280="",$K280=0,$AF280="Sprint"),0,IF(AND($B280="Project",$J280=""),0,IF(IF($B280="Program",$V280,$J280)&gt;$K280*(1+Checks!$B$8),3,IF(IF($B280="Program",$V280,$J280)&gt;$K280,2,IF(AND($B280="Program",OR($W280&gt;0,$V280=0)),0,1)))))</f>
        <v/>
      </c>
      <c r="Z280" s="28">
        <f>IF($A280="",0,IF($C280="Portfolio",1,IF(AND($B280="Project",$C280&lt;&gt;"",$C280&lt;&gt;"Outside the portfolio"),IFERROR(IF(AND(INDEX($B$6:$B$305,MATCH($C280,$A$6:$A$305,0))="Program",INDEX($C$6:$C$305,MATCH($C280,$A$6:$A$305,0))="Portfolio"),1,0),0),0)))</f>
        <v/>
      </c>
      <c r="AA280" s="28">
        <f>IF(AND($A280&lt;&gt;"",$E280="",OR($Q280=1,$D280="Proposed")),1,0)</f>
        <v/>
      </c>
      <c r="AB280" s="28">
        <f>IF(AND($A280&lt;&gt;"",$B280="Program",$F280="",$Q280=1),1,0)</f>
        <v/>
      </c>
      <c r="AC280" s="28">
        <f>IF(OR($A280="",$D280="Completed",$D280="Terminated"),0,IF($C280="",1,IF($C280="Portfolio",0,IF($C280="Outside the portfolio",IF($Q280=1,2,0),IF($B280="Project",IF(IFERROR(INDEX($B$6:$B$305,MATCH($C280,$A$6:$A$305,0)),"")="Program",0,1),1)))))</f>
        <v/>
      </c>
      <c r="AD280" s="28">
        <f>IF(AND($A280&lt;&gt;"",OR($M280="■ Red",$M280="◧ Amber"),$L280=""),1,0)</f>
        <v/>
      </c>
      <c r="AE280" s="28">
        <f>$AA280+$AB280+IF($AC280&gt;0,1,0)+$AD280+$AG280+$AH280</f>
        <v/>
      </c>
      <c r="AF280" s="25" t="n"/>
      <c r="AG280" s="28">
        <f>IF(AND($A280&lt;&gt;"",$K280&lt;&gt;"",$C280&lt;&gt;"Portfolio",$D280&lt;&gt;"Completed",$D280&lt;&gt;"Terminated"),1,0)</f>
        <v/>
      </c>
      <c r="AH280" s="28">
        <f>IF(AND($A280&lt;&gt;"",COUNTIF($A$6:$A$305,$A280)&gt;1),1,0)</f>
        <v/>
      </c>
      <c r="AI280" s="28">
        <f>IF(AND($A280&lt;&gt;"",$C280="Portfolio"),COUNTIFS($C$6:$C280,"Portfolio",$A$6:$A280,"&lt;&gt;"),"")</f>
        <v/>
      </c>
    </row>
    <row r="281">
      <c r="A281" s="25" t="n"/>
      <c r="B281" s="25" t="n"/>
      <c r="C281" s="25" t="n"/>
      <c r="D281" s="25" t="n"/>
      <c r="E281" s="25" t="n"/>
      <c r="F281" s="25" t="n"/>
      <c r="G281" s="25" t="n"/>
      <c r="H281" s="26" t="n"/>
      <c r="I281" s="26" t="n"/>
      <c r="J281" s="27" t="n"/>
      <c r="K281" s="27" t="n"/>
      <c r="L281" s="23" t="n"/>
      <c r="M281" s="28">
        <f>IF($A281="","",IF($D281="","Not read",IF($Q281=0,"Not counted",IF(MAX($X281,$Y281)=3,"■ Red",IF(MAX($X281,$Y281)=2,"◧ Amber",IF(MAX($X281,$Y281)=1,"□ On track","Not read"))))))</f>
        <v/>
      </c>
      <c r="N281" s="28">
        <f>IF(OR($A281="",$B281&lt;&gt;"Program"),"","■ "&amp;COUNTIFS($C$6:$C$305,$A281,$M$6:$M$305,"■ Red")&amp;" Red, ◧ "&amp;COUNTIFS($C$6:$C$305,$A281,$M$6:$M$305,"◧ Amber")&amp;" Amber")</f>
        <v/>
      </c>
      <c r="O281" s="29">
        <f>IF(OR($A281="",$E281=""),"",COUNTIFS($E$6:$E$305,$E281,$D$6:$D$305,"Active")+COUNTIFS($E$6:$E$305,$E281,$D$6:$D$305,"Paused"))</f>
        <v/>
      </c>
      <c r="P281" s="28">
        <f>IF($A281="","",IF($AE281=0,"○ Clear",IF($AA281=1,"△ No owner",IF($AC281=1,"△ Check Sits under",IF($AC281=2,"△ Outside the portfolio",IF($AB281=1,"△ No sponsor",IF($AH281=1,"△ Name used twice",IF($AG281=1,"△ Budget only counts under Portfolio","△ No variance note"))))))&amp;IF($AE281&gt;1," (+"&amp;($AE281-1)&amp;" more)","")))</f>
        <v/>
      </c>
      <c r="Q281" s="28">
        <f>IF(AND($A281&lt;&gt;"",OR($D281="Active",$D281="Paused")),1,0)</f>
        <v/>
      </c>
      <c r="R281" s="28">
        <f>IFERROR(INDEX($A$6:$A$305,MATCH(274,$S$6:$S$305,0)),"")</f>
        <v/>
      </c>
      <c r="S281" s="28">
        <f>IF(AND($A281&lt;&gt;"",$B281="Program"),COUNTIFS($B$6:$B281,"Program",$A$6:$A281,"&lt;&gt;"),"")</f>
        <v/>
      </c>
      <c r="T281" s="30">
        <f>IF(AND($A281&lt;&gt;"",$B281="Program"),SUMPRODUCT(MAX(($C$6:$C$305=$A281)*($B$6:$B$305="Project")*($D$6:$D$305&lt;&gt;"Proposed")*$I$6:$I$305)),0)</f>
        <v/>
      </c>
      <c r="U281" s="30">
        <f>IF($I281&lt;&gt;"",$I281,IF($T281&gt;0,$T281,""))</f>
        <v/>
      </c>
      <c r="V281" s="28">
        <f>IF(AND($A281&lt;&gt;"",$B281="Program"),SUMIFS($J$6:$J$305,$C$6:$C$305,$A281,$B$6:$B$305,"Project",$D$6:$D$305,"&lt;&gt;Proposed"),0)</f>
        <v/>
      </c>
      <c r="W281" s="28">
        <f>IF(AND($A281&lt;&gt;"",$B281="Program"),COUNTIFS($C$6:$C$305,$A281,$B$6:$B$305,"Project",$D$6:$D$305,"&lt;&gt;Proposed")-COUNTIFS($C$6:$C$305,$A281,$B$6:$B$305,"Project",$D$6:$D$305,"&lt;&gt;Proposed",$J$6:$J$305,"&gt;=0"),0)</f>
        <v/>
      </c>
      <c r="X281" s="28">
        <f>IF(OR($Q281=0,$H281="",$AF281="Sprint"),0,IF(AND($B281="Project",$H281&lt;TODAY()),3,IF($U281="",0,IF($U281&lt;=$H281,1,IF(NETWORKDAYS($H281,$U281)-1&gt;IF($B281="Program",Checks!$B$7,Checks!$B$6),3,2)))))</f>
        <v/>
      </c>
      <c r="Y281" s="28">
        <f>IF(OR($Q281=0,$K281="",$K281=0,$AF281="Sprint"),0,IF(AND($B281="Project",$J281=""),0,IF(IF($B281="Program",$V281,$J281)&gt;$K281*(1+Checks!$B$8),3,IF(IF($B281="Program",$V281,$J281)&gt;$K281,2,IF(AND($B281="Program",OR($W281&gt;0,$V281=0)),0,1)))))</f>
        <v/>
      </c>
      <c r="Z281" s="28">
        <f>IF($A281="",0,IF($C281="Portfolio",1,IF(AND($B281="Project",$C281&lt;&gt;"",$C281&lt;&gt;"Outside the portfolio"),IFERROR(IF(AND(INDEX($B$6:$B$305,MATCH($C281,$A$6:$A$305,0))="Program",INDEX($C$6:$C$305,MATCH($C281,$A$6:$A$305,0))="Portfolio"),1,0),0),0)))</f>
        <v/>
      </c>
      <c r="AA281" s="28">
        <f>IF(AND($A281&lt;&gt;"",$E281="",OR($Q281=1,$D281="Proposed")),1,0)</f>
        <v/>
      </c>
      <c r="AB281" s="28">
        <f>IF(AND($A281&lt;&gt;"",$B281="Program",$F281="",$Q281=1),1,0)</f>
        <v/>
      </c>
      <c r="AC281" s="28">
        <f>IF(OR($A281="",$D281="Completed",$D281="Terminated"),0,IF($C281="",1,IF($C281="Portfolio",0,IF($C281="Outside the portfolio",IF($Q281=1,2,0),IF($B281="Project",IF(IFERROR(INDEX($B$6:$B$305,MATCH($C281,$A$6:$A$305,0)),"")="Program",0,1),1)))))</f>
        <v/>
      </c>
      <c r="AD281" s="28">
        <f>IF(AND($A281&lt;&gt;"",OR($M281="■ Red",$M281="◧ Amber"),$L281=""),1,0)</f>
        <v/>
      </c>
      <c r="AE281" s="28">
        <f>$AA281+$AB281+IF($AC281&gt;0,1,0)+$AD281+$AG281+$AH281</f>
        <v/>
      </c>
      <c r="AF281" s="25" t="n"/>
      <c r="AG281" s="28">
        <f>IF(AND($A281&lt;&gt;"",$K281&lt;&gt;"",$C281&lt;&gt;"Portfolio",$D281&lt;&gt;"Completed",$D281&lt;&gt;"Terminated"),1,0)</f>
        <v/>
      </c>
      <c r="AH281" s="28">
        <f>IF(AND($A281&lt;&gt;"",COUNTIF($A$6:$A$305,$A281)&gt;1),1,0)</f>
        <v/>
      </c>
      <c r="AI281" s="28">
        <f>IF(AND($A281&lt;&gt;"",$C281="Portfolio"),COUNTIFS($C$6:$C281,"Portfolio",$A$6:$A281,"&lt;&gt;"),"")</f>
        <v/>
      </c>
    </row>
    <row r="282">
      <c r="A282" s="25" t="n"/>
      <c r="B282" s="25" t="n"/>
      <c r="C282" s="25" t="n"/>
      <c r="D282" s="25" t="n"/>
      <c r="E282" s="25" t="n"/>
      <c r="F282" s="25" t="n"/>
      <c r="G282" s="25" t="n"/>
      <c r="H282" s="26" t="n"/>
      <c r="I282" s="26" t="n"/>
      <c r="J282" s="27" t="n"/>
      <c r="K282" s="27" t="n"/>
      <c r="L282" s="23" t="n"/>
      <c r="M282" s="28">
        <f>IF($A282="","",IF($D282="","Not read",IF($Q282=0,"Not counted",IF(MAX($X282,$Y282)=3,"■ Red",IF(MAX($X282,$Y282)=2,"◧ Amber",IF(MAX($X282,$Y282)=1,"□ On track","Not read"))))))</f>
        <v/>
      </c>
      <c r="N282" s="28">
        <f>IF(OR($A282="",$B282&lt;&gt;"Program"),"","■ "&amp;COUNTIFS($C$6:$C$305,$A282,$M$6:$M$305,"■ Red")&amp;" Red, ◧ "&amp;COUNTIFS($C$6:$C$305,$A282,$M$6:$M$305,"◧ Amber")&amp;" Amber")</f>
        <v/>
      </c>
      <c r="O282" s="29">
        <f>IF(OR($A282="",$E282=""),"",COUNTIFS($E$6:$E$305,$E282,$D$6:$D$305,"Active")+COUNTIFS($E$6:$E$305,$E282,$D$6:$D$305,"Paused"))</f>
        <v/>
      </c>
      <c r="P282" s="28">
        <f>IF($A282="","",IF($AE282=0,"○ Clear",IF($AA282=1,"△ No owner",IF($AC282=1,"△ Check Sits under",IF($AC282=2,"△ Outside the portfolio",IF($AB282=1,"△ No sponsor",IF($AH282=1,"△ Name used twice",IF($AG282=1,"△ Budget only counts under Portfolio","△ No variance note"))))))&amp;IF($AE282&gt;1," (+"&amp;($AE282-1)&amp;" more)","")))</f>
        <v/>
      </c>
      <c r="Q282" s="28">
        <f>IF(AND($A282&lt;&gt;"",OR($D282="Active",$D282="Paused")),1,0)</f>
        <v/>
      </c>
      <c r="R282" s="28">
        <f>IFERROR(INDEX($A$6:$A$305,MATCH(275,$S$6:$S$305,0)),"")</f>
        <v/>
      </c>
      <c r="S282" s="28">
        <f>IF(AND($A282&lt;&gt;"",$B282="Program"),COUNTIFS($B$6:$B282,"Program",$A$6:$A282,"&lt;&gt;"),"")</f>
        <v/>
      </c>
      <c r="T282" s="30">
        <f>IF(AND($A282&lt;&gt;"",$B282="Program"),SUMPRODUCT(MAX(($C$6:$C$305=$A282)*($B$6:$B$305="Project")*($D$6:$D$305&lt;&gt;"Proposed")*$I$6:$I$305)),0)</f>
        <v/>
      </c>
      <c r="U282" s="30">
        <f>IF($I282&lt;&gt;"",$I282,IF($T282&gt;0,$T282,""))</f>
        <v/>
      </c>
      <c r="V282" s="28">
        <f>IF(AND($A282&lt;&gt;"",$B282="Program"),SUMIFS($J$6:$J$305,$C$6:$C$305,$A282,$B$6:$B$305,"Project",$D$6:$D$305,"&lt;&gt;Proposed"),0)</f>
        <v/>
      </c>
      <c r="W282" s="28">
        <f>IF(AND($A282&lt;&gt;"",$B282="Program"),COUNTIFS($C$6:$C$305,$A282,$B$6:$B$305,"Project",$D$6:$D$305,"&lt;&gt;Proposed")-COUNTIFS($C$6:$C$305,$A282,$B$6:$B$305,"Project",$D$6:$D$305,"&lt;&gt;Proposed",$J$6:$J$305,"&gt;=0"),0)</f>
        <v/>
      </c>
      <c r="X282" s="28">
        <f>IF(OR($Q282=0,$H282="",$AF282="Sprint"),0,IF(AND($B282="Project",$H282&lt;TODAY()),3,IF($U282="",0,IF($U282&lt;=$H282,1,IF(NETWORKDAYS($H282,$U282)-1&gt;IF($B282="Program",Checks!$B$7,Checks!$B$6),3,2)))))</f>
        <v/>
      </c>
      <c r="Y282" s="28">
        <f>IF(OR($Q282=0,$K282="",$K282=0,$AF282="Sprint"),0,IF(AND($B282="Project",$J282=""),0,IF(IF($B282="Program",$V282,$J282)&gt;$K282*(1+Checks!$B$8),3,IF(IF($B282="Program",$V282,$J282)&gt;$K282,2,IF(AND($B282="Program",OR($W282&gt;0,$V282=0)),0,1)))))</f>
        <v/>
      </c>
      <c r="Z282" s="28">
        <f>IF($A282="",0,IF($C282="Portfolio",1,IF(AND($B282="Project",$C282&lt;&gt;"",$C282&lt;&gt;"Outside the portfolio"),IFERROR(IF(AND(INDEX($B$6:$B$305,MATCH($C282,$A$6:$A$305,0))="Program",INDEX($C$6:$C$305,MATCH($C282,$A$6:$A$305,0))="Portfolio"),1,0),0),0)))</f>
        <v/>
      </c>
      <c r="AA282" s="28">
        <f>IF(AND($A282&lt;&gt;"",$E282="",OR($Q282=1,$D282="Proposed")),1,0)</f>
        <v/>
      </c>
      <c r="AB282" s="28">
        <f>IF(AND($A282&lt;&gt;"",$B282="Program",$F282="",$Q282=1),1,0)</f>
        <v/>
      </c>
      <c r="AC282" s="28">
        <f>IF(OR($A282="",$D282="Completed",$D282="Terminated"),0,IF($C282="",1,IF($C282="Portfolio",0,IF($C282="Outside the portfolio",IF($Q282=1,2,0),IF($B282="Project",IF(IFERROR(INDEX($B$6:$B$305,MATCH($C282,$A$6:$A$305,0)),"")="Program",0,1),1)))))</f>
        <v/>
      </c>
      <c r="AD282" s="28">
        <f>IF(AND($A282&lt;&gt;"",OR($M282="■ Red",$M282="◧ Amber"),$L282=""),1,0)</f>
        <v/>
      </c>
      <c r="AE282" s="28">
        <f>$AA282+$AB282+IF($AC282&gt;0,1,0)+$AD282+$AG282+$AH282</f>
        <v/>
      </c>
      <c r="AF282" s="25" t="n"/>
      <c r="AG282" s="28">
        <f>IF(AND($A282&lt;&gt;"",$K282&lt;&gt;"",$C282&lt;&gt;"Portfolio",$D282&lt;&gt;"Completed",$D282&lt;&gt;"Terminated"),1,0)</f>
        <v/>
      </c>
      <c r="AH282" s="28">
        <f>IF(AND($A282&lt;&gt;"",COUNTIF($A$6:$A$305,$A282)&gt;1),1,0)</f>
        <v/>
      </c>
      <c r="AI282" s="28">
        <f>IF(AND($A282&lt;&gt;"",$C282="Portfolio"),COUNTIFS($C$6:$C282,"Portfolio",$A$6:$A282,"&lt;&gt;"),"")</f>
        <v/>
      </c>
    </row>
    <row r="283">
      <c r="A283" s="25" t="n"/>
      <c r="B283" s="25" t="n"/>
      <c r="C283" s="25" t="n"/>
      <c r="D283" s="25" t="n"/>
      <c r="E283" s="25" t="n"/>
      <c r="F283" s="25" t="n"/>
      <c r="G283" s="25" t="n"/>
      <c r="H283" s="26" t="n"/>
      <c r="I283" s="26" t="n"/>
      <c r="J283" s="27" t="n"/>
      <c r="K283" s="27" t="n"/>
      <c r="L283" s="23" t="n"/>
      <c r="M283" s="28">
        <f>IF($A283="","",IF($D283="","Not read",IF($Q283=0,"Not counted",IF(MAX($X283,$Y283)=3,"■ Red",IF(MAX($X283,$Y283)=2,"◧ Amber",IF(MAX($X283,$Y283)=1,"□ On track","Not read"))))))</f>
        <v/>
      </c>
      <c r="N283" s="28">
        <f>IF(OR($A283="",$B283&lt;&gt;"Program"),"","■ "&amp;COUNTIFS($C$6:$C$305,$A283,$M$6:$M$305,"■ Red")&amp;" Red, ◧ "&amp;COUNTIFS($C$6:$C$305,$A283,$M$6:$M$305,"◧ Amber")&amp;" Amber")</f>
        <v/>
      </c>
      <c r="O283" s="29">
        <f>IF(OR($A283="",$E283=""),"",COUNTIFS($E$6:$E$305,$E283,$D$6:$D$305,"Active")+COUNTIFS($E$6:$E$305,$E283,$D$6:$D$305,"Paused"))</f>
        <v/>
      </c>
      <c r="P283" s="28">
        <f>IF($A283="","",IF($AE283=0,"○ Clear",IF($AA283=1,"△ No owner",IF($AC283=1,"△ Check Sits under",IF($AC283=2,"△ Outside the portfolio",IF($AB283=1,"△ No sponsor",IF($AH283=1,"△ Name used twice",IF($AG283=1,"△ Budget only counts under Portfolio","△ No variance note"))))))&amp;IF($AE283&gt;1," (+"&amp;($AE283-1)&amp;" more)","")))</f>
        <v/>
      </c>
      <c r="Q283" s="28">
        <f>IF(AND($A283&lt;&gt;"",OR($D283="Active",$D283="Paused")),1,0)</f>
        <v/>
      </c>
      <c r="R283" s="28">
        <f>IFERROR(INDEX($A$6:$A$305,MATCH(276,$S$6:$S$305,0)),"")</f>
        <v/>
      </c>
      <c r="S283" s="28">
        <f>IF(AND($A283&lt;&gt;"",$B283="Program"),COUNTIFS($B$6:$B283,"Program",$A$6:$A283,"&lt;&gt;"),"")</f>
        <v/>
      </c>
      <c r="T283" s="30">
        <f>IF(AND($A283&lt;&gt;"",$B283="Program"),SUMPRODUCT(MAX(($C$6:$C$305=$A283)*($B$6:$B$305="Project")*($D$6:$D$305&lt;&gt;"Proposed")*$I$6:$I$305)),0)</f>
        <v/>
      </c>
      <c r="U283" s="30">
        <f>IF($I283&lt;&gt;"",$I283,IF($T283&gt;0,$T283,""))</f>
        <v/>
      </c>
      <c r="V283" s="28">
        <f>IF(AND($A283&lt;&gt;"",$B283="Program"),SUMIFS($J$6:$J$305,$C$6:$C$305,$A283,$B$6:$B$305,"Project",$D$6:$D$305,"&lt;&gt;Proposed"),0)</f>
        <v/>
      </c>
      <c r="W283" s="28">
        <f>IF(AND($A283&lt;&gt;"",$B283="Program"),COUNTIFS($C$6:$C$305,$A283,$B$6:$B$305,"Project",$D$6:$D$305,"&lt;&gt;Proposed")-COUNTIFS($C$6:$C$305,$A283,$B$6:$B$305,"Project",$D$6:$D$305,"&lt;&gt;Proposed",$J$6:$J$305,"&gt;=0"),0)</f>
        <v/>
      </c>
      <c r="X283" s="28">
        <f>IF(OR($Q283=0,$H283="",$AF283="Sprint"),0,IF(AND($B283="Project",$H283&lt;TODAY()),3,IF($U283="",0,IF($U283&lt;=$H283,1,IF(NETWORKDAYS($H283,$U283)-1&gt;IF($B283="Program",Checks!$B$7,Checks!$B$6),3,2)))))</f>
        <v/>
      </c>
      <c r="Y283" s="28">
        <f>IF(OR($Q283=0,$K283="",$K283=0,$AF283="Sprint"),0,IF(AND($B283="Project",$J283=""),0,IF(IF($B283="Program",$V283,$J283)&gt;$K283*(1+Checks!$B$8),3,IF(IF($B283="Program",$V283,$J283)&gt;$K283,2,IF(AND($B283="Program",OR($W283&gt;0,$V283=0)),0,1)))))</f>
        <v/>
      </c>
      <c r="Z283" s="28">
        <f>IF($A283="",0,IF($C283="Portfolio",1,IF(AND($B283="Project",$C283&lt;&gt;"",$C283&lt;&gt;"Outside the portfolio"),IFERROR(IF(AND(INDEX($B$6:$B$305,MATCH($C283,$A$6:$A$305,0))="Program",INDEX($C$6:$C$305,MATCH($C283,$A$6:$A$305,0))="Portfolio"),1,0),0),0)))</f>
        <v/>
      </c>
      <c r="AA283" s="28">
        <f>IF(AND($A283&lt;&gt;"",$E283="",OR($Q283=1,$D283="Proposed")),1,0)</f>
        <v/>
      </c>
      <c r="AB283" s="28">
        <f>IF(AND($A283&lt;&gt;"",$B283="Program",$F283="",$Q283=1),1,0)</f>
        <v/>
      </c>
      <c r="AC283" s="28">
        <f>IF(OR($A283="",$D283="Completed",$D283="Terminated"),0,IF($C283="",1,IF($C283="Portfolio",0,IF($C283="Outside the portfolio",IF($Q283=1,2,0),IF($B283="Project",IF(IFERROR(INDEX($B$6:$B$305,MATCH($C283,$A$6:$A$305,0)),"")="Program",0,1),1)))))</f>
        <v/>
      </c>
      <c r="AD283" s="28">
        <f>IF(AND($A283&lt;&gt;"",OR($M283="■ Red",$M283="◧ Amber"),$L283=""),1,0)</f>
        <v/>
      </c>
      <c r="AE283" s="28">
        <f>$AA283+$AB283+IF($AC283&gt;0,1,0)+$AD283+$AG283+$AH283</f>
        <v/>
      </c>
      <c r="AF283" s="25" t="n"/>
      <c r="AG283" s="28">
        <f>IF(AND($A283&lt;&gt;"",$K283&lt;&gt;"",$C283&lt;&gt;"Portfolio",$D283&lt;&gt;"Completed",$D283&lt;&gt;"Terminated"),1,0)</f>
        <v/>
      </c>
      <c r="AH283" s="28">
        <f>IF(AND($A283&lt;&gt;"",COUNTIF($A$6:$A$305,$A283)&gt;1),1,0)</f>
        <v/>
      </c>
      <c r="AI283" s="28">
        <f>IF(AND($A283&lt;&gt;"",$C283="Portfolio"),COUNTIFS($C$6:$C283,"Portfolio",$A$6:$A283,"&lt;&gt;"),"")</f>
        <v/>
      </c>
    </row>
    <row r="284">
      <c r="A284" s="25" t="n"/>
      <c r="B284" s="25" t="n"/>
      <c r="C284" s="25" t="n"/>
      <c r="D284" s="25" t="n"/>
      <c r="E284" s="25" t="n"/>
      <c r="F284" s="25" t="n"/>
      <c r="G284" s="25" t="n"/>
      <c r="H284" s="26" t="n"/>
      <c r="I284" s="26" t="n"/>
      <c r="J284" s="27" t="n"/>
      <c r="K284" s="27" t="n"/>
      <c r="L284" s="23" t="n"/>
      <c r="M284" s="28">
        <f>IF($A284="","",IF($D284="","Not read",IF($Q284=0,"Not counted",IF(MAX($X284,$Y284)=3,"■ Red",IF(MAX($X284,$Y284)=2,"◧ Amber",IF(MAX($X284,$Y284)=1,"□ On track","Not read"))))))</f>
        <v/>
      </c>
      <c r="N284" s="28">
        <f>IF(OR($A284="",$B284&lt;&gt;"Program"),"","■ "&amp;COUNTIFS($C$6:$C$305,$A284,$M$6:$M$305,"■ Red")&amp;" Red, ◧ "&amp;COUNTIFS($C$6:$C$305,$A284,$M$6:$M$305,"◧ Amber")&amp;" Amber")</f>
        <v/>
      </c>
      <c r="O284" s="29">
        <f>IF(OR($A284="",$E284=""),"",COUNTIFS($E$6:$E$305,$E284,$D$6:$D$305,"Active")+COUNTIFS($E$6:$E$305,$E284,$D$6:$D$305,"Paused"))</f>
        <v/>
      </c>
      <c r="P284" s="28">
        <f>IF($A284="","",IF($AE284=0,"○ Clear",IF($AA284=1,"△ No owner",IF($AC284=1,"△ Check Sits under",IF($AC284=2,"△ Outside the portfolio",IF($AB284=1,"△ No sponsor",IF($AH284=1,"△ Name used twice",IF($AG284=1,"△ Budget only counts under Portfolio","△ No variance note"))))))&amp;IF($AE284&gt;1," (+"&amp;($AE284-1)&amp;" more)","")))</f>
        <v/>
      </c>
      <c r="Q284" s="28">
        <f>IF(AND($A284&lt;&gt;"",OR($D284="Active",$D284="Paused")),1,0)</f>
        <v/>
      </c>
      <c r="R284" s="28">
        <f>IFERROR(INDEX($A$6:$A$305,MATCH(277,$S$6:$S$305,0)),"")</f>
        <v/>
      </c>
      <c r="S284" s="28">
        <f>IF(AND($A284&lt;&gt;"",$B284="Program"),COUNTIFS($B$6:$B284,"Program",$A$6:$A284,"&lt;&gt;"),"")</f>
        <v/>
      </c>
      <c r="T284" s="30">
        <f>IF(AND($A284&lt;&gt;"",$B284="Program"),SUMPRODUCT(MAX(($C$6:$C$305=$A284)*($B$6:$B$305="Project")*($D$6:$D$305&lt;&gt;"Proposed")*$I$6:$I$305)),0)</f>
        <v/>
      </c>
      <c r="U284" s="30">
        <f>IF($I284&lt;&gt;"",$I284,IF($T284&gt;0,$T284,""))</f>
        <v/>
      </c>
      <c r="V284" s="28">
        <f>IF(AND($A284&lt;&gt;"",$B284="Program"),SUMIFS($J$6:$J$305,$C$6:$C$305,$A284,$B$6:$B$305,"Project",$D$6:$D$305,"&lt;&gt;Proposed"),0)</f>
        <v/>
      </c>
      <c r="W284" s="28">
        <f>IF(AND($A284&lt;&gt;"",$B284="Program"),COUNTIFS($C$6:$C$305,$A284,$B$6:$B$305,"Project",$D$6:$D$305,"&lt;&gt;Proposed")-COUNTIFS($C$6:$C$305,$A284,$B$6:$B$305,"Project",$D$6:$D$305,"&lt;&gt;Proposed",$J$6:$J$305,"&gt;=0"),0)</f>
        <v/>
      </c>
      <c r="X284" s="28">
        <f>IF(OR($Q284=0,$H284="",$AF284="Sprint"),0,IF(AND($B284="Project",$H284&lt;TODAY()),3,IF($U284="",0,IF($U284&lt;=$H284,1,IF(NETWORKDAYS($H284,$U284)-1&gt;IF($B284="Program",Checks!$B$7,Checks!$B$6),3,2)))))</f>
        <v/>
      </c>
      <c r="Y284" s="28">
        <f>IF(OR($Q284=0,$K284="",$K284=0,$AF284="Sprint"),0,IF(AND($B284="Project",$J284=""),0,IF(IF($B284="Program",$V284,$J284)&gt;$K284*(1+Checks!$B$8),3,IF(IF($B284="Program",$V284,$J284)&gt;$K284,2,IF(AND($B284="Program",OR($W284&gt;0,$V284=0)),0,1)))))</f>
        <v/>
      </c>
      <c r="Z284" s="28">
        <f>IF($A284="",0,IF($C284="Portfolio",1,IF(AND($B284="Project",$C284&lt;&gt;"",$C284&lt;&gt;"Outside the portfolio"),IFERROR(IF(AND(INDEX($B$6:$B$305,MATCH($C284,$A$6:$A$305,0))="Program",INDEX($C$6:$C$305,MATCH($C284,$A$6:$A$305,0))="Portfolio"),1,0),0),0)))</f>
        <v/>
      </c>
      <c r="AA284" s="28">
        <f>IF(AND($A284&lt;&gt;"",$E284="",OR($Q284=1,$D284="Proposed")),1,0)</f>
        <v/>
      </c>
      <c r="AB284" s="28">
        <f>IF(AND($A284&lt;&gt;"",$B284="Program",$F284="",$Q284=1),1,0)</f>
        <v/>
      </c>
      <c r="AC284" s="28">
        <f>IF(OR($A284="",$D284="Completed",$D284="Terminated"),0,IF($C284="",1,IF($C284="Portfolio",0,IF($C284="Outside the portfolio",IF($Q284=1,2,0),IF($B284="Project",IF(IFERROR(INDEX($B$6:$B$305,MATCH($C284,$A$6:$A$305,0)),"")="Program",0,1),1)))))</f>
        <v/>
      </c>
      <c r="AD284" s="28">
        <f>IF(AND($A284&lt;&gt;"",OR($M284="■ Red",$M284="◧ Amber"),$L284=""),1,0)</f>
        <v/>
      </c>
      <c r="AE284" s="28">
        <f>$AA284+$AB284+IF($AC284&gt;0,1,0)+$AD284+$AG284+$AH284</f>
        <v/>
      </c>
      <c r="AF284" s="25" t="n"/>
      <c r="AG284" s="28">
        <f>IF(AND($A284&lt;&gt;"",$K284&lt;&gt;"",$C284&lt;&gt;"Portfolio",$D284&lt;&gt;"Completed",$D284&lt;&gt;"Terminated"),1,0)</f>
        <v/>
      </c>
      <c r="AH284" s="28">
        <f>IF(AND($A284&lt;&gt;"",COUNTIF($A$6:$A$305,$A284)&gt;1),1,0)</f>
        <v/>
      </c>
      <c r="AI284" s="28">
        <f>IF(AND($A284&lt;&gt;"",$C284="Portfolio"),COUNTIFS($C$6:$C284,"Portfolio",$A$6:$A284,"&lt;&gt;"),"")</f>
        <v/>
      </c>
    </row>
    <row r="285">
      <c r="A285" s="25" t="n"/>
      <c r="B285" s="25" t="n"/>
      <c r="C285" s="25" t="n"/>
      <c r="D285" s="25" t="n"/>
      <c r="E285" s="25" t="n"/>
      <c r="F285" s="25" t="n"/>
      <c r="G285" s="25" t="n"/>
      <c r="H285" s="26" t="n"/>
      <c r="I285" s="26" t="n"/>
      <c r="J285" s="27" t="n"/>
      <c r="K285" s="27" t="n"/>
      <c r="L285" s="23" t="n"/>
      <c r="M285" s="28">
        <f>IF($A285="","",IF($D285="","Not read",IF($Q285=0,"Not counted",IF(MAX($X285,$Y285)=3,"■ Red",IF(MAX($X285,$Y285)=2,"◧ Amber",IF(MAX($X285,$Y285)=1,"□ On track","Not read"))))))</f>
        <v/>
      </c>
      <c r="N285" s="28">
        <f>IF(OR($A285="",$B285&lt;&gt;"Program"),"","■ "&amp;COUNTIFS($C$6:$C$305,$A285,$M$6:$M$305,"■ Red")&amp;" Red, ◧ "&amp;COUNTIFS($C$6:$C$305,$A285,$M$6:$M$305,"◧ Amber")&amp;" Amber")</f>
        <v/>
      </c>
      <c r="O285" s="29">
        <f>IF(OR($A285="",$E285=""),"",COUNTIFS($E$6:$E$305,$E285,$D$6:$D$305,"Active")+COUNTIFS($E$6:$E$305,$E285,$D$6:$D$305,"Paused"))</f>
        <v/>
      </c>
      <c r="P285" s="28">
        <f>IF($A285="","",IF($AE285=0,"○ Clear",IF($AA285=1,"△ No owner",IF($AC285=1,"△ Check Sits under",IF($AC285=2,"△ Outside the portfolio",IF($AB285=1,"△ No sponsor",IF($AH285=1,"△ Name used twice",IF($AG285=1,"△ Budget only counts under Portfolio","△ No variance note"))))))&amp;IF($AE285&gt;1," (+"&amp;($AE285-1)&amp;" more)","")))</f>
        <v/>
      </c>
      <c r="Q285" s="28">
        <f>IF(AND($A285&lt;&gt;"",OR($D285="Active",$D285="Paused")),1,0)</f>
        <v/>
      </c>
      <c r="R285" s="28">
        <f>IFERROR(INDEX($A$6:$A$305,MATCH(278,$S$6:$S$305,0)),"")</f>
        <v/>
      </c>
      <c r="S285" s="28">
        <f>IF(AND($A285&lt;&gt;"",$B285="Program"),COUNTIFS($B$6:$B285,"Program",$A$6:$A285,"&lt;&gt;"),"")</f>
        <v/>
      </c>
      <c r="T285" s="30">
        <f>IF(AND($A285&lt;&gt;"",$B285="Program"),SUMPRODUCT(MAX(($C$6:$C$305=$A285)*($B$6:$B$305="Project")*($D$6:$D$305&lt;&gt;"Proposed")*$I$6:$I$305)),0)</f>
        <v/>
      </c>
      <c r="U285" s="30">
        <f>IF($I285&lt;&gt;"",$I285,IF($T285&gt;0,$T285,""))</f>
        <v/>
      </c>
      <c r="V285" s="28">
        <f>IF(AND($A285&lt;&gt;"",$B285="Program"),SUMIFS($J$6:$J$305,$C$6:$C$305,$A285,$B$6:$B$305,"Project",$D$6:$D$305,"&lt;&gt;Proposed"),0)</f>
        <v/>
      </c>
      <c r="W285" s="28">
        <f>IF(AND($A285&lt;&gt;"",$B285="Program"),COUNTIFS($C$6:$C$305,$A285,$B$6:$B$305,"Project",$D$6:$D$305,"&lt;&gt;Proposed")-COUNTIFS($C$6:$C$305,$A285,$B$6:$B$305,"Project",$D$6:$D$305,"&lt;&gt;Proposed",$J$6:$J$305,"&gt;=0"),0)</f>
        <v/>
      </c>
      <c r="X285" s="28">
        <f>IF(OR($Q285=0,$H285="",$AF285="Sprint"),0,IF(AND($B285="Project",$H285&lt;TODAY()),3,IF($U285="",0,IF($U285&lt;=$H285,1,IF(NETWORKDAYS($H285,$U285)-1&gt;IF($B285="Program",Checks!$B$7,Checks!$B$6),3,2)))))</f>
        <v/>
      </c>
      <c r="Y285" s="28">
        <f>IF(OR($Q285=0,$K285="",$K285=0,$AF285="Sprint"),0,IF(AND($B285="Project",$J285=""),0,IF(IF($B285="Program",$V285,$J285)&gt;$K285*(1+Checks!$B$8),3,IF(IF($B285="Program",$V285,$J285)&gt;$K285,2,IF(AND($B285="Program",OR($W285&gt;0,$V285=0)),0,1)))))</f>
        <v/>
      </c>
      <c r="Z285" s="28">
        <f>IF($A285="",0,IF($C285="Portfolio",1,IF(AND($B285="Project",$C285&lt;&gt;"",$C285&lt;&gt;"Outside the portfolio"),IFERROR(IF(AND(INDEX($B$6:$B$305,MATCH($C285,$A$6:$A$305,0))="Program",INDEX($C$6:$C$305,MATCH($C285,$A$6:$A$305,0))="Portfolio"),1,0),0),0)))</f>
        <v/>
      </c>
      <c r="AA285" s="28">
        <f>IF(AND($A285&lt;&gt;"",$E285="",OR($Q285=1,$D285="Proposed")),1,0)</f>
        <v/>
      </c>
      <c r="AB285" s="28">
        <f>IF(AND($A285&lt;&gt;"",$B285="Program",$F285="",$Q285=1),1,0)</f>
        <v/>
      </c>
      <c r="AC285" s="28">
        <f>IF(OR($A285="",$D285="Completed",$D285="Terminated"),0,IF($C285="",1,IF($C285="Portfolio",0,IF($C285="Outside the portfolio",IF($Q285=1,2,0),IF($B285="Project",IF(IFERROR(INDEX($B$6:$B$305,MATCH($C285,$A$6:$A$305,0)),"")="Program",0,1),1)))))</f>
        <v/>
      </c>
      <c r="AD285" s="28">
        <f>IF(AND($A285&lt;&gt;"",OR($M285="■ Red",$M285="◧ Amber"),$L285=""),1,0)</f>
        <v/>
      </c>
      <c r="AE285" s="28">
        <f>$AA285+$AB285+IF($AC285&gt;0,1,0)+$AD285+$AG285+$AH285</f>
        <v/>
      </c>
      <c r="AF285" s="25" t="n"/>
      <c r="AG285" s="28">
        <f>IF(AND($A285&lt;&gt;"",$K285&lt;&gt;"",$C285&lt;&gt;"Portfolio",$D285&lt;&gt;"Completed",$D285&lt;&gt;"Terminated"),1,0)</f>
        <v/>
      </c>
      <c r="AH285" s="28">
        <f>IF(AND($A285&lt;&gt;"",COUNTIF($A$6:$A$305,$A285)&gt;1),1,0)</f>
        <v/>
      </c>
      <c r="AI285" s="28">
        <f>IF(AND($A285&lt;&gt;"",$C285="Portfolio"),COUNTIFS($C$6:$C285,"Portfolio",$A$6:$A285,"&lt;&gt;"),"")</f>
        <v/>
      </c>
    </row>
    <row r="286">
      <c r="A286" s="25" t="n"/>
      <c r="B286" s="25" t="n"/>
      <c r="C286" s="25" t="n"/>
      <c r="D286" s="25" t="n"/>
      <c r="E286" s="25" t="n"/>
      <c r="F286" s="25" t="n"/>
      <c r="G286" s="25" t="n"/>
      <c r="H286" s="26" t="n"/>
      <c r="I286" s="26" t="n"/>
      <c r="J286" s="27" t="n"/>
      <c r="K286" s="27" t="n"/>
      <c r="L286" s="23" t="n"/>
      <c r="M286" s="28">
        <f>IF($A286="","",IF($D286="","Not read",IF($Q286=0,"Not counted",IF(MAX($X286,$Y286)=3,"■ Red",IF(MAX($X286,$Y286)=2,"◧ Amber",IF(MAX($X286,$Y286)=1,"□ On track","Not read"))))))</f>
        <v/>
      </c>
      <c r="N286" s="28">
        <f>IF(OR($A286="",$B286&lt;&gt;"Program"),"","■ "&amp;COUNTIFS($C$6:$C$305,$A286,$M$6:$M$305,"■ Red")&amp;" Red, ◧ "&amp;COUNTIFS($C$6:$C$305,$A286,$M$6:$M$305,"◧ Amber")&amp;" Amber")</f>
        <v/>
      </c>
      <c r="O286" s="29">
        <f>IF(OR($A286="",$E286=""),"",COUNTIFS($E$6:$E$305,$E286,$D$6:$D$305,"Active")+COUNTIFS($E$6:$E$305,$E286,$D$6:$D$305,"Paused"))</f>
        <v/>
      </c>
      <c r="P286" s="28">
        <f>IF($A286="","",IF($AE286=0,"○ Clear",IF($AA286=1,"△ No owner",IF($AC286=1,"△ Check Sits under",IF($AC286=2,"△ Outside the portfolio",IF($AB286=1,"△ No sponsor",IF($AH286=1,"△ Name used twice",IF($AG286=1,"△ Budget only counts under Portfolio","△ No variance note"))))))&amp;IF($AE286&gt;1," (+"&amp;($AE286-1)&amp;" more)","")))</f>
        <v/>
      </c>
      <c r="Q286" s="28">
        <f>IF(AND($A286&lt;&gt;"",OR($D286="Active",$D286="Paused")),1,0)</f>
        <v/>
      </c>
      <c r="R286" s="28">
        <f>IFERROR(INDEX($A$6:$A$305,MATCH(279,$S$6:$S$305,0)),"")</f>
        <v/>
      </c>
      <c r="S286" s="28">
        <f>IF(AND($A286&lt;&gt;"",$B286="Program"),COUNTIFS($B$6:$B286,"Program",$A$6:$A286,"&lt;&gt;"),"")</f>
        <v/>
      </c>
      <c r="T286" s="30">
        <f>IF(AND($A286&lt;&gt;"",$B286="Program"),SUMPRODUCT(MAX(($C$6:$C$305=$A286)*($B$6:$B$305="Project")*($D$6:$D$305&lt;&gt;"Proposed")*$I$6:$I$305)),0)</f>
        <v/>
      </c>
      <c r="U286" s="30">
        <f>IF($I286&lt;&gt;"",$I286,IF($T286&gt;0,$T286,""))</f>
        <v/>
      </c>
      <c r="V286" s="28">
        <f>IF(AND($A286&lt;&gt;"",$B286="Program"),SUMIFS($J$6:$J$305,$C$6:$C$305,$A286,$B$6:$B$305,"Project",$D$6:$D$305,"&lt;&gt;Proposed"),0)</f>
        <v/>
      </c>
      <c r="W286" s="28">
        <f>IF(AND($A286&lt;&gt;"",$B286="Program"),COUNTIFS($C$6:$C$305,$A286,$B$6:$B$305,"Project",$D$6:$D$305,"&lt;&gt;Proposed")-COUNTIFS($C$6:$C$305,$A286,$B$6:$B$305,"Project",$D$6:$D$305,"&lt;&gt;Proposed",$J$6:$J$305,"&gt;=0"),0)</f>
        <v/>
      </c>
      <c r="X286" s="28">
        <f>IF(OR($Q286=0,$H286="",$AF286="Sprint"),0,IF(AND($B286="Project",$H286&lt;TODAY()),3,IF($U286="",0,IF($U286&lt;=$H286,1,IF(NETWORKDAYS($H286,$U286)-1&gt;IF($B286="Program",Checks!$B$7,Checks!$B$6),3,2)))))</f>
        <v/>
      </c>
      <c r="Y286" s="28">
        <f>IF(OR($Q286=0,$K286="",$K286=0,$AF286="Sprint"),0,IF(AND($B286="Project",$J286=""),0,IF(IF($B286="Program",$V286,$J286)&gt;$K286*(1+Checks!$B$8),3,IF(IF($B286="Program",$V286,$J286)&gt;$K286,2,IF(AND($B286="Program",OR($W286&gt;0,$V286=0)),0,1)))))</f>
        <v/>
      </c>
      <c r="Z286" s="28">
        <f>IF($A286="",0,IF($C286="Portfolio",1,IF(AND($B286="Project",$C286&lt;&gt;"",$C286&lt;&gt;"Outside the portfolio"),IFERROR(IF(AND(INDEX($B$6:$B$305,MATCH($C286,$A$6:$A$305,0))="Program",INDEX($C$6:$C$305,MATCH($C286,$A$6:$A$305,0))="Portfolio"),1,0),0),0)))</f>
        <v/>
      </c>
      <c r="AA286" s="28">
        <f>IF(AND($A286&lt;&gt;"",$E286="",OR($Q286=1,$D286="Proposed")),1,0)</f>
        <v/>
      </c>
      <c r="AB286" s="28">
        <f>IF(AND($A286&lt;&gt;"",$B286="Program",$F286="",$Q286=1),1,0)</f>
        <v/>
      </c>
      <c r="AC286" s="28">
        <f>IF(OR($A286="",$D286="Completed",$D286="Terminated"),0,IF($C286="",1,IF($C286="Portfolio",0,IF($C286="Outside the portfolio",IF($Q286=1,2,0),IF($B286="Project",IF(IFERROR(INDEX($B$6:$B$305,MATCH($C286,$A$6:$A$305,0)),"")="Program",0,1),1)))))</f>
        <v/>
      </c>
      <c r="AD286" s="28">
        <f>IF(AND($A286&lt;&gt;"",OR($M286="■ Red",$M286="◧ Amber"),$L286=""),1,0)</f>
        <v/>
      </c>
      <c r="AE286" s="28">
        <f>$AA286+$AB286+IF($AC286&gt;0,1,0)+$AD286+$AG286+$AH286</f>
        <v/>
      </c>
      <c r="AF286" s="25" t="n"/>
      <c r="AG286" s="28">
        <f>IF(AND($A286&lt;&gt;"",$K286&lt;&gt;"",$C286&lt;&gt;"Portfolio",$D286&lt;&gt;"Completed",$D286&lt;&gt;"Terminated"),1,0)</f>
        <v/>
      </c>
      <c r="AH286" s="28">
        <f>IF(AND($A286&lt;&gt;"",COUNTIF($A$6:$A$305,$A286)&gt;1),1,0)</f>
        <v/>
      </c>
      <c r="AI286" s="28">
        <f>IF(AND($A286&lt;&gt;"",$C286="Portfolio"),COUNTIFS($C$6:$C286,"Portfolio",$A$6:$A286,"&lt;&gt;"),"")</f>
        <v/>
      </c>
    </row>
    <row r="287">
      <c r="A287" s="25" t="n"/>
      <c r="B287" s="25" t="n"/>
      <c r="C287" s="25" t="n"/>
      <c r="D287" s="25" t="n"/>
      <c r="E287" s="25" t="n"/>
      <c r="F287" s="25" t="n"/>
      <c r="G287" s="25" t="n"/>
      <c r="H287" s="26" t="n"/>
      <c r="I287" s="26" t="n"/>
      <c r="J287" s="27" t="n"/>
      <c r="K287" s="27" t="n"/>
      <c r="L287" s="23" t="n"/>
      <c r="M287" s="28">
        <f>IF($A287="","",IF($D287="","Not read",IF($Q287=0,"Not counted",IF(MAX($X287,$Y287)=3,"■ Red",IF(MAX($X287,$Y287)=2,"◧ Amber",IF(MAX($X287,$Y287)=1,"□ On track","Not read"))))))</f>
        <v/>
      </c>
      <c r="N287" s="28">
        <f>IF(OR($A287="",$B287&lt;&gt;"Program"),"","■ "&amp;COUNTIFS($C$6:$C$305,$A287,$M$6:$M$305,"■ Red")&amp;" Red, ◧ "&amp;COUNTIFS($C$6:$C$305,$A287,$M$6:$M$305,"◧ Amber")&amp;" Amber")</f>
        <v/>
      </c>
      <c r="O287" s="29">
        <f>IF(OR($A287="",$E287=""),"",COUNTIFS($E$6:$E$305,$E287,$D$6:$D$305,"Active")+COUNTIFS($E$6:$E$305,$E287,$D$6:$D$305,"Paused"))</f>
        <v/>
      </c>
      <c r="P287" s="28">
        <f>IF($A287="","",IF($AE287=0,"○ Clear",IF($AA287=1,"△ No owner",IF($AC287=1,"△ Check Sits under",IF($AC287=2,"△ Outside the portfolio",IF($AB287=1,"△ No sponsor",IF($AH287=1,"△ Name used twice",IF($AG287=1,"△ Budget only counts under Portfolio","△ No variance note"))))))&amp;IF($AE287&gt;1," (+"&amp;($AE287-1)&amp;" more)","")))</f>
        <v/>
      </c>
      <c r="Q287" s="28">
        <f>IF(AND($A287&lt;&gt;"",OR($D287="Active",$D287="Paused")),1,0)</f>
        <v/>
      </c>
      <c r="R287" s="28">
        <f>IFERROR(INDEX($A$6:$A$305,MATCH(280,$S$6:$S$305,0)),"")</f>
        <v/>
      </c>
      <c r="S287" s="28">
        <f>IF(AND($A287&lt;&gt;"",$B287="Program"),COUNTIFS($B$6:$B287,"Program",$A$6:$A287,"&lt;&gt;"),"")</f>
        <v/>
      </c>
      <c r="T287" s="30">
        <f>IF(AND($A287&lt;&gt;"",$B287="Program"),SUMPRODUCT(MAX(($C$6:$C$305=$A287)*($B$6:$B$305="Project")*($D$6:$D$305&lt;&gt;"Proposed")*$I$6:$I$305)),0)</f>
        <v/>
      </c>
      <c r="U287" s="30">
        <f>IF($I287&lt;&gt;"",$I287,IF($T287&gt;0,$T287,""))</f>
        <v/>
      </c>
      <c r="V287" s="28">
        <f>IF(AND($A287&lt;&gt;"",$B287="Program"),SUMIFS($J$6:$J$305,$C$6:$C$305,$A287,$B$6:$B$305,"Project",$D$6:$D$305,"&lt;&gt;Proposed"),0)</f>
        <v/>
      </c>
      <c r="W287" s="28">
        <f>IF(AND($A287&lt;&gt;"",$B287="Program"),COUNTIFS($C$6:$C$305,$A287,$B$6:$B$305,"Project",$D$6:$D$305,"&lt;&gt;Proposed")-COUNTIFS($C$6:$C$305,$A287,$B$6:$B$305,"Project",$D$6:$D$305,"&lt;&gt;Proposed",$J$6:$J$305,"&gt;=0"),0)</f>
        <v/>
      </c>
      <c r="X287" s="28">
        <f>IF(OR($Q287=0,$H287="",$AF287="Sprint"),0,IF(AND($B287="Project",$H287&lt;TODAY()),3,IF($U287="",0,IF($U287&lt;=$H287,1,IF(NETWORKDAYS($H287,$U287)-1&gt;IF($B287="Program",Checks!$B$7,Checks!$B$6),3,2)))))</f>
        <v/>
      </c>
      <c r="Y287" s="28">
        <f>IF(OR($Q287=0,$K287="",$K287=0,$AF287="Sprint"),0,IF(AND($B287="Project",$J287=""),0,IF(IF($B287="Program",$V287,$J287)&gt;$K287*(1+Checks!$B$8),3,IF(IF($B287="Program",$V287,$J287)&gt;$K287,2,IF(AND($B287="Program",OR($W287&gt;0,$V287=0)),0,1)))))</f>
        <v/>
      </c>
      <c r="Z287" s="28">
        <f>IF($A287="",0,IF($C287="Portfolio",1,IF(AND($B287="Project",$C287&lt;&gt;"",$C287&lt;&gt;"Outside the portfolio"),IFERROR(IF(AND(INDEX($B$6:$B$305,MATCH($C287,$A$6:$A$305,0))="Program",INDEX($C$6:$C$305,MATCH($C287,$A$6:$A$305,0))="Portfolio"),1,0),0),0)))</f>
        <v/>
      </c>
      <c r="AA287" s="28">
        <f>IF(AND($A287&lt;&gt;"",$E287="",OR($Q287=1,$D287="Proposed")),1,0)</f>
        <v/>
      </c>
      <c r="AB287" s="28">
        <f>IF(AND($A287&lt;&gt;"",$B287="Program",$F287="",$Q287=1),1,0)</f>
        <v/>
      </c>
      <c r="AC287" s="28">
        <f>IF(OR($A287="",$D287="Completed",$D287="Terminated"),0,IF($C287="",1,IF($C287="Portfolio",0,IF($C287="Outside the portfolio",IF($Q287=1,2,0),IF($B287="Project",IF(IFERROR(INDEX($B$6:$B$305,MATCH($C287,$A$6:$A$305,0)),"")="Program",0,1),1)))))</f>
        <v/>
      </c>
      <c r="AD287" s="28">
        <f>IF(AND($A287&lt;&gt;"",OR($M287="■ Red",$M287="◧ Amber"),$L287=""),1,0)</f>
        <v/>
      </c>
      <c r="AE287" s="28">
        <f>$AA287+$AB287+IF($AC287&gt;0,1,0)+$AD287+$AG287+$AH287</f>
        <v/>
      </c>
      <c r="AF287" s="25" t="n"/>
      <c r="AG287" s="28">
        <f>IF(AND($A287&lt;&gt;"",$K287&lt;&gt;"",$C287&lt;&gt;"Portfolio",$D287&lt;&gt;"Completed",$D287&lt;&gt;"Terminated"),1,0)</f>
        <v/>
      </c>
      <c r="AH287" s="28">
        <f>IF(AND($A287&lt;&gt;"",COUNTIF($A$6:$A$305,$A287)&gt;1),1,0)</f>
        <v/>
      </c>
      <c r="AI287" s="28">
        <f>IF(AND($A287&lt;&gt;"",$C287="Portfolio"),COUNTIFS($C$6:$C287,"Portfolio",$A$6:$A287,"&lt;&gt;"),"")</f>
        <v/>
      </c>
    </row>
    <row r="288">
      <c r="A288" s="25" t="n"/>
      <c r="B288" s="25" t="n"/>
      <c r="C288" s="25" t="n"/>
      <c r="D288" s="25" t="n"/>
      <c r="E288" s="25" t="n"/>
      <c r="F288" s="25" t="n"/>
      <c r="G288" s="25" t="n"/>
      <c r="H288" s="26" t="n"/>
      <c r="I288" s="26" t="n"/>
      <c r="J288" s="27" t="n"/>
      <c r="K288" s="27" t="n"/>
      <c r="L288" s="23" t="n"/>
      <c r="M288" s="28">
        <f>IF($A288="","",IF($D288="","Not read",IF($Q288=0,"Not counted",IF(MAX($X288,$Y288)=3,"■ Red",IF(MAX($X288,$Y288)=2,"◧ Amber",IF(MAX($X288,$Y288)=1,"□ On track","Not read"))))))</f>
        <v/>
      </c>
      <c r="N288" s="28">
        <f>IF(OR($A288="",$B288&lt;&gt;"Program"),"","■ "&amp;COUNTIFS($C$6:$C$305,$A288,$M$6:$M$305,"■ Red")&amp;" Red, ◧ "&amp;COUNTIFS($C$6:$C$305,$A288,$M$6:$M$305,"◧ Amber")&amp;" Amber")</f>
        <v/>
      </c>
      <c r="O288" s="29">
        <f>IF(OR($A288="",$E288=""),"",COUNTIFS($E$6:$E$305,$E288,$D$6:$D$305,"Active")+COUNTIFS($E$6:$E$305,$E288,$D$6:$D$305,"Paused"))</f>
        <v/>
      </c>
      <c r="P288" s="28">
        <f>IF($A288="","",IF($AE288=0,"○ Clear",IF($AA288=1,"△ No owner",IF($AC288=1,"△ Check Sits under",IF($AC288=2,"△ Outside the portfolio",IF($AB288=1,"△ No sponsor",IF($AH288=1,"△ Name used twice",IF($AG288=1,"△ Budget only counts under Portfolio","△ No variance note"))))))&amp;IF($AE288&gt;1," (+"&amp;($AE288-1)&amp;" more)","")))</f>
        <v/>
      </c>
      <c r="Q288" s="28">
        <f>IF(AND($A288&lt;&gt;"",OR($D288="Active",$D288="Paused")),1,0)</f>
        <v/>
      </c>
      <c r="R288" s="28">
        <f>IFERROR(INDEX($A$6:$A$305,MATCH(281,$S$6:$S$305,0)),"")</f>
        <v/>
      </c>
      <c r="S288" s="28">
        <f>IF(AND($A288&lt;&gt;"",$B288="Program"),COUNTIFS($B$6:$B288,"Program",$A$6:$A288,"&lt;&gt;"),"")</f>
        <v/>
      </c>
      <c r="T288" s="30">
        <f>IF(AND($A288&lt;&gt;"",$B288="Program"),SUMPRODUCT(MAX(($C$6:$C$305=$A288)*($B$6:$B$305="Project")*($D$6:$D$305&lt;&gt;"Proposed")*$I$6:$I$305)),0)</f>
        <v/>
      </c>
      <c r="U288" s="30">
        <f>IF($I288&lt;&gt;"",$I288,IF($T288&gt;0,$T288,""))</f>
        <v/>
      </c>
      <c r="V288" s="28">
        <f>IF(AND($A288&lt;&gt;"",$B288="Program"),SUMIFS($J$6:$J$305,$C$6:$C$305,$A288,$B$6:$B$305,"Project",$D$6:$D$305,"&lt;&gt;Proposed"),0)</f>
        <v/>
      </c>
      <c r="W288" s="28">
        <f>IF(AND($A288&lt;&gt;"",$B288="Program"),COUNTIFS($C$6:$C$305,$A288,$B$6:$B$305,"Project",$D$6:$D$305,"&lt;&gt;Proposed")-COUNTIFS($C$6:$C$305,$A288,$B$6:$B$305,"Project",$D$6:$D$305,"&lt;&gt;Proposed",$J$6:$J$305,"&gt;=0"),0)</f>
        <v/>
      </c>
      <c r="X288" s="28">
        <f>IF(OR($Q288=0,$H288="",$AF288="Sprint"),0,IF(AND($B288="Project",$H288&lt;TODAY()),3,IF($U288="",0,IF($U288&lt;=$H288,1,IF(NETWORKDAYS($H288,$U288)-1&gt;IF($B288="Program",Checks!$B$7,Checks!$B$6),3,2)))))</f>
        <v/>
      </c>
      <c r="Y288" s="28">
        <f>IF(OR($Q288=0,$K288="",$K288=0,$AF288="Sprint"),0,IF(AND($B288="Project",$J288=""),0,IF(IF($B288="Program",$V288,$J288)&gt;$K288*(1+Checks!$B$8),3,IF(IF($B288="Program",$V288,$J288)&gt;$K288,2,IF(AND($B288="Program",OR($W288&gt;0,$V288=0)),0,1)))))</f>
        <v/>
      </c>
      <c r="Z288" s="28">
        <f>IF($A288="",0,IF($C288="Portfolio",1,IF(AND($B288="Project",$C288&lt;&gt;"",$C288&lt;&gt;"Outside the portfolio"),IFERROR(IF(AND(INDEX($B$6:$B$305,MATCH($C288,$A$6:$A$305,0))="Program",INDEX($C$6:$C$305,MATCH($C288,$A$6:$A$305,0))="Portfolio"),1,0),0),0)))</f>
        <v/>
      </c>
      <c r="AA288" s="28">
        <f>IF(AND($A288&lt;&gt;"",$E288="",OR($Q288=1,$D288="Proposed")),1,0)</f>
        <v/>
      </c>
      <c r="AB288" s="28">
        <f>IF(AND($A288&lt;&gt;"",$B288="Program",$F288="",$Q288=1),1,0)</f>
        <v/>
      </c>
      <c r="AC288" s="28">
        <f>IF(OR($A288="",$D288="Completed",$D288="Terminated"),0,IF($C288="",1,IF($C288="Portfolio",0,IF($C288="Outside the portfolio",IF($Q288=1,2,0),IF($B288="Project",IF(IFERROR(INDEX($B$6:$B$305,MATCH($C288,$A$6:$A$305,0)),"")="Program",0,1),1)))))</f>
        <v/>
      </c>
      <c r="AD288" s="28">
        <f>IF(AND($A288&lt;&gt;"",OR($M288="■ Red",$M288="◧ Amber"),$L288=""),1,0)</f>
        <v/>
      </c>
      <c r="AE288" s="28">
        <f>$AA288+$AB288+IF($AC288&gt;0,1,0)+$AD288+$AG288+$AH288</f>
        <v/>
      </c>
      <c r="AF288" s="25" t="n"/>
      <c r="AG288" s="28">
        <f>IF(AND($A288&lt;&gt;"",$K288&lt;&gt;"",$C288&lt;&gt;"Portfolio",$D288&lt;&gt;"Completed",$D288&lt;&gt;"Terminated"),1,0)</f>
        <v/>
      </c>
      <c r="AH288" s="28">
        <f>IF(AND($A288&lt;&gt;"",COUNTIF($A$6:$A$305,$A288)&gt;1),1,0)</f>
        <v/>
      </c>
      <c r="AI288" s="28">
        <f>IF(AND($A288&lt;&gt;"",$C288="Portfolio"),COUNTIFS($C$6:$C288,"Portfolio",$A$6:$A288,"&lt;&gt;"),"")</f>
        <v/>
      </c>
    </row>
    <row r="289">
      <c r="A289" s="25" t="n"/>
      <c r="B289" s="25" t="n"/>
      <c r="C289" s="25" t="n"/>
      <c r="D289" s="25" t="n"/>
      <c r="E289" s="25" t="n"/>
      <c r="F289" s="25" t="n"/>
      <c r="G289" s="25" t="n"/>
      <c r="H289" s="26" t="n"/>
      <c r="I289" s="26" t="n"/>
      <c r="J289" s="27" t="n"/>
      <c r="K289" s="27" t="n"/>
      <c r="L289" s="23" t="n"/>
      <c r="M289" s="28">
        <f>IF($A289="","",IF($D289="","Not read",IF($Q289=0,"Not counted",IF(MAX($X289,$Y289)=3,"■ Red",IF(MAX($X289,$Y289)=2,"◧ Amber",IF(MAX($X289,$Y289)=1,"□ On track","Not read"))))))</f>
        <v/>
      </c>
      <c r="N289" s="28">
        <f>IF(OR($A289="",$B289&lt;&gt;"Program"),"","■ "&amp;COUNTIFS($C$6:$C$305,$A289,$M$6:$M$305,"■ Red")&amp;" Red, ◧ "&amp;COUNTIFS($C$6:$C$305,$A289,$M$6:$M$305,"◧ Amber")&amp;" Amber")</f>
        <v/>
      </c>
      <c r="O289" s="29">
        <f>IF(OR($A289="",$E289=""),"",COUNTIFS($E$6:$E$305,$E289,$D$6:$D$305,"Active")+COUNTIFS($E$6:$E$305,$E289,$D$6:$D$305,"Paused"))</f>
        <v/>
      </c>
      <c r="P289" s="28">
        <f>IF($A289="","",IF($AE289=0,"○ Clear",IF($AA289=1,"△ No owner",IF($AC289=1,"△ Check Sits under",IF($AC289=2,"△ Outside the portfolio",IF($AB289=1,"△ No sponsor",IF($AH289=1,"△ Name used twice",IF($AG289=1,"△ Budget only counts under Portfolio","△ No variance note"))))))&amp;IF($AE289&gt;1," (+"&amp;($AE289-1)&amp;" more)","")))</f>
        <v/>
      </c>
      <c r="Q289" s="28">
        <f>IF(AND($A289&lt;&gt;"",OR($D289="Active",$D289="Paused")),1,0)</f>
        <v/>
      </c>
      <c r="R289" s="28">
        <f>IFERROR(INDEX($A$6:$A$305,MATCH(282,$S$6:$S$305,0)),"")</f>
        <v/>
      </c>
      <c r="S289" s="28">
        <f>IF(AND($A289&lt;&gt;"",$B289="Program"),COUNTIFS($B$6:$B289,"Program",$A$6:$A289,"&lt;&gt;"),"")</f>
        <v/>
      </c>
      <c r="T289" s="30">
        <f>IF(AND($A289&lt;&gt;"",$B289="Program"),SUMPRODUCT(MAX(($C$6:$C$305=$A289)*($B$6:$B$305="Project")*($D$6:$D$305&lt;&gt;"Proposed")*$I$6:$I$305)),0)</f>
        <v/>
      </c>
      <c r="U289" s="30">
        <f>IF($I289&lt;&gt;"",$I289,IF($T289&gt;0,$T289,""))</f>
        <v/>
      </c>
      <c r="V289" s="28">
        <f>IF(AND($A289&lt;&gt;"",$B289="Program"),SUMIFS($J$6:$J$305,$C$6:$C$305,$A289,$B$6:$B$305,"Project",$D$6:$D$305,"&lt;&gt;Proposed"),0)</f>
        <v/>
      </c>
      <c r="W289" s="28">
        <f>IF(AND($A289&lt;&gt;"",$B289="Program"),COUNTIFS($C$6:$C$305,$A289,$B$6:$B$305,"Project",$D$6:$D$305,"&lt;&gt;Proposed")-COUNTIFS($C$6:$C$305,$A289,$B$6:$B$305,"Project",$D$6:$D$305,"&lt;&gt;Proposed",$J$6:$J$305,"&gt;=0"),0)</f>
        <v/>
      </c>
      <c r="X289" s="28">
        <f>IF(OR($Q289=0,$H289="",$AF289="Sprint"),0,IF(AND($B289="Project",$H289&lt;TODAY()),3,IF($U289="",0,IF($U289&lt;=$H289,1,IF(NETWORKDAYS($H289,$U289)-1&gt;IF($B289="Program",Checks!$B$7,Checks!$B$6),3,2)))))</f>
        <v/>
      </c>
      <c r="Y289" s="28">
        <f>IF(OR($Q289=0,$K289="",$K289=0,$AF289="Sprint"),0,IF(AND($B289="Project",$J289=""),0,IF(IF($B289="Program",$V289,$J289)&gt;$K289*(1+Checks!$B$8),3,IF(IF($B289="Program",$V289,$J289)&gt;$K289,2,IF(AND($B289="Program",OR($W289&gt;0,$V289=0)),0,1)))))</f>
        <v/>
      </c>
      <c r="Z289" s="28">
        <f>IF($A289="",0,IF($C289="Portfolio",1,IF(AND($B289="Project",$C289&lt;&gt;"",$C289&lt;&gt;"Outside the portfolio"),IFERROR(IF(AND(INDEX($B$6:$B$305,MATCH($C289,$A$6:$A$305,0))="Program",INDEX($C$6:$C$305,MATCH($C289,$A$6:$A$305,0))="Portfolio"),1,0),0),0)))</f>
        <v/>
      </c>
      <c r="AA289" s="28">
        <f>IF(AND($A289&lt;&gt;"",$E289="",OR($Q289=1,$D289="Proposed")),1,0)</f>
        <v/>
      </c>
      <c r="AB289" s="28">
        <f>IF(AND($A289&lt;&gt;"",$B289="Program",$F289="",$Q289=1),1,0)</f>
        <v/>
      </c>
      <c r="AC289" s="28">
        <f>IF(OR($A289="",$D289="Completed",$D289="Terminated"),0,IF($C289="",1,IF($C289="Portfolio",0,IF($C289="Outside the portfolio",IF($Q289=1,2,0),IF($B289="Project",IF(IFERROR(INDEX($B$6:$B$305,MATCH($C289,$A$6:$A$305,0)),"")="Program",0,1),1)))))</f>
        <v/>
      </c>
      <c r="AD289" s="28">
        <f>IF(AND($A289&lt;&gt;"",OR($M289="■ Red",$M289="◧ Amber"),$L289=""),1,0)</f>
        <v/>
      </c>
      <c r="AE289" s="28">
        <f>$AA289+$AB289+IF($AC289&gt;0,1,0)+$AD289+$AG289+$AH289</f>
        <v/>
      </c>
      <c r="AF289" s="25" t="n"/>
      <c r="AG289" s="28">
        <f>IF(AND($A289&lt;&gt;"",$K289&lt;&gt;"",$C289&lt;&gt;"Portfolio",$D289&lt;&gt;"Completed",$D289&lt;&gt;"Terminated"),1,0)</f>
        <v/>
      </c>
      <c r="AH289" s="28">
        <f>IF(AND($A289&lt;&gt;"",COUNTIF($A$6:$A$305,$A289)&gt;1),1,0)</f>
        <v/>
      </c>
      <c r="AI289" s="28">
        <f>IF(AND($A289&lt;&gt;"",$C289="Portfolio"),COUNTIFS($C$6:$C289,"Portfolio",$A$6:$A289,"&lt;&gt;"),"")</f>
        <v/>
      </c>
    </row>
    <row r="290">
      <c r="A290" s="25" t="n"/>
      <c r="B290" s="25" t="n"/>
      <c r="C290" s="25" t="n"/>
      <c r="D290" s="25" t="n"/>
      <c r="E290" s="25" t="n"/>
      <c r="F290" s="25" t="n"/>
      <c r="G290" s="25" t="n"/>
      <c r="H290" s="26" t="n"/>
      <c r="I290" s="26" t="n"/>
      <c r="J290" s="27" t="n"/>
      <c r="K290" s="27" t="n"/>
      <c r="L290" s="23" t="n"/>
      <c r="M290" s="28">
        <f>IF($A290="","",IF($D290="","Not read",IF($Q290=0,"Not counted",IF(MAX($X290,$Y290)=3,"■ Red",IF(MAX($X290,$Y290)=2,"◧ Amber",IF(MAX($X290,$Y290)=1,"□ On track","Not read"))))))</f>
        <v/>
      </c>
      <c r="N290" s="28">
        <f>IF(OR($A290="",$B290&lt;&gt;"Program"),"","■ "&amp;COUNTIFS($C$6:$C$305,$A290,$M$6:$M$305,"■ Red")&amp;" Red, ◧ "&amp;COUNTIFS($C$6:$C$305,$A290,$M$6:$M$305,"◧ Amber")&amp;" Amber")</f>
        <v/>
      </c>
      <c r="O290" s="29">
        <f>IF(OR($A290="",$E290=""),"",COUNTIFS($E$6:$E$305,$E290,$D$6:$D$305,"Active")+COUNTIFS($E$6:$E$305,$E290,$D$6:$D$305,"Paused"))</f>
        <v/>
      </c>
      <c r="P290" s="28">
        <f>IF($A290="","",IF($AE290=0,"○ Clear",IF($AA290=1,"△ No owner",IF($AC290=1,"△ Check Sits under",IF($AC290=2,"△ Outside the portfolio",IF($AB290=1,"△ No sponsor",IF($AH290=1,"△ Name used twice",IF($AG290=1,"△ Budget only counts under Portfolio","△ No variance note"))))))&amp;IF($AE290&gt;1," (+"&amp;($AE290-1)&amp;" more)","")))</f>
        <v/>
      </c>
      <c r="Q290" s="28">
        <f>IF(AND($A290&lt;&gt;"",OR($D290="Active",$D290="Paused")),1,0)</f>
        <v/>
      </c>
      <c r="R290" s="28">
        <f>IFERROR(INDEX($A$6:$A$305,MATCH(283,$S$6:$S$305,0)),"")</f>
        <v/>
      </c>
      <c r="S290" s="28">
        <f>IF(AND($A290&lt;&gt;"",$B290="Program"),COUNTIFS($B$6:$B290,"Program",$A$6:$A290,"&lt;&gt;"),"")</f>
        <v/>
      </c>
      <c r="T290" s="30">
        <f>IF(AND($A290&lt;&gt;"",$B290="Program"),SUMPRODUCT(MAX(($C$6:$C$305=$A290)*($B$6:$B$305="Project")*($D$6:$D$305&lt;&gt;"Proposed")*$I$6:$I$305)),0)</f>
        <v/>
      </c>
      <c r="U290" s="30">
        <f>IF($I290&lt;&gt;"",$I290,IF($T290&gt;0,$T290,""))</f>
        <v/>
      </c>
      <c r="V290" s="28">
        <f>IF(AND($A290&lt;&gt;"",$B290="Program"),SUMIFS($J$6:$J$305,$C$6:$C$305,$A290,$B$6:$B$305,"Project",$D$6:$D$305,"&lt;&gt;Proposed"),0)</f>
        <v/>
      </c>
      <c r="W290" s="28">
        <f>IF(AND($A290&lt;&gt;"",$B290="Program"),COUNTIFS($C$6:$C$305,$A290,$B$6:$B$305,"Project",$D$6:$D$305,"&lt;&gt;Proposed")-COUNTIFS($C$6:$C$305,$A290,$B$6:$B$305,"Project",$D$6:$D$305,"&lt;&gt;Proposed",$J$6:$J$305,"&gt;=0"),0)</f>
        <v/>
      </c>
      <c r="X290" s="28">
        <f>IF(OR($Q290=0,$H290="",$AF290="Sprint"),0,IF(AND($B290="Project",$H290&lt;TODAY()),3,IF($U290="",0,IF($U290&lt;=$H290,1,IF(NETWORKDAYS($H290,$U290)-1&gt;IF($B290="Program",Checks!$B$7,Checks!$B$6),3,2)))))</f>
        <v/>
      </c>
      <c r="Y290" s="28">
        <f>IF(OR($Q290=0,$K290="",$K290=0,$AF290="Sprint"),0,IF(AND($B290="Project",$J290=""),0,IF(IF($B290="Program",$V290,$J290)&gt;$K290*(1+Checks!$B$8),3,IF(IF($B290="Program",$V290,$J290)&gt;$K290,2,IF(AND($B290="Program",OR($W290&gt;0,$V290=0)),0,1)))))</f>
        <v/>
      </c>
      <c r="Z290" s="28">
        <f>IF($A290="",0,IF($C290="Portfolio",1,IF(AND($B290="Project",$C290&lt;&gt;"",$C290&lt;&gt;"Outside the portfolio"),IFERROR(IF(AND(INDEX($B$6:$B$305,MATCH($C290,$A$6:$A$305,0))="Program",INDEX($C$6:$C$305,MATCH($C290,$A$6:$A$305,0))="Portfolio"),1,0),0),0)))</f>
        <v/>
      </c>
      <c r="AA290" s="28">
        <f>IF(AND($A290&lt;&gt;"",$E290="",OR($Q290=1,$D290="Proposed")),1,0)</f>
        <v/>
      </c>
      <c r="AB290" s="28">
        <f>IF(AND($A290&lt;&gt;"",$B290="Program",$F290="",$Q290=1),1,0)</f>
        <v/>
      </c>
      <c r="AC290" s="28">
        <f>IF(OR($A290="",$D290="Completed",$D290="Terminated"),0,IF($C290="",1,IF($C290="Portfolio",0,IF($C290="Outside the portfolio",IF($Q290=1,2,0),IF($B290="Project",IF(IFERROR(INDEX($B$6:$B$305,MATCH($C290,$A$6:$A$305,0)),"")="Program",0,1),1)))))</f>
        <v/>
      </c>
      <c r="AD290" s="28">
        <f>IF(AND($A290&lt;&gt;"",OR($M290="■ Red",$M290="◧ Amber"),$L290=""),1,0)</f>
        <v/>
      </c>
      <c r="AE290" s="28">
        <f>$AA290+$AB290+IF($AC290&gt;0,1,0)+$AD290+$AG290+$AH290</f>
        <v/>
      </c>
      <c r="AF290" s="25" t="n"/>
      <c r="AG290" s="28">
        <f>IF(AND($A290&lt;&gt;"",$K290&lt;&gt;"",$C290&lt;&gt;"Portfolio",$D290&lt;&gt;"Completed",$D290&lt;&gt;"Terminated"),1,0)</f>
        <v/>
      </c>
      <c r="AH290" s="28">
        <f>IF(AND($A290&lt;&gt;"",COUNTIF($A$6:$A$305,$A290)&gt;1),1,0)</f>
        <v/>
      </c>
      <c r="AI290" s="28">
        <f>IF(AND($A290&lt;&gt;"",$C290="Portfolio"),COUNTIFS($C$6:$C290,"Portfolio",$A$6:$A290,"&lt;&gt;"),"")</f>
        <v/>
      </c>
    </row>
    <row r="291">
      <c r="A291" s="25" t="n"/>
      <c r="B291" s="25" t="n"/>
      <c r="C291" s="25" t="n"/>
      <c r="D291" s="25" t="n"/>
      <c r="E291" s="25" t="n"/>
      <c r="F291" s="25" t="n"/>
      <c r="G291" s="25" t="n"/>
      <c r="H291" s="26" t="n"/>
      <c r="I291" s="26" t="n"/>
      <c r="J291" s="27" t="n"/>
      <c r="K291" s="27" t="n"/>
      <c r="L291" s="23" t="n"/>
      <c r="M291" s="28">
        <f>IF($A291="","",IF($D291="","Not read",IF($Q291=0,"Not counted",IF(MAX($X291,$Y291)=3,"■ Red",IF(MAX($X291,$Y291)=2,"◧ Amber",IF(MAX($X291,$Y291)=1,"□ On track","Not read"))))))</f>
        <v/>
      </c>
      <c r="N291" s="28">
        <f>IF(OR($A291="",$B291&lt;&gt;"Program"),"","■ "&amp;COUNTIFS($C$6:$C$305,$A291,$M$6:$M$305,"■ Red")&amp;" Red, ◧ "&amp;COUNTIFS($C$6:$C$305,$A291,$M$6:$M$305,"◧ Amber")&amp;" Amber")</f>
        <v/>
      </c>
      <c r="O291" s="29">
        <f>IF(OR($A291="",$E291=""),"",COUNTIFS($E$6:$E$305,$E291,$D$6:$D$305,"Active")+COUNTIFS($E$6:$E$305,$E291,$D$6:$D$305,"Paused"))</f>
        <v/>
      </c>
      <c r="P291" s="28">
        <f>IF($A291="","",IF($AE291=0,"○ Clear",IF($AA291=1,"△ No owner",IF($AC291=1,"△ Check Sits under",IF($AC291=2,"△ Outside the portfolio",IF($AB291=1,"△ No sponsor",IF($AH291=1,"△ Name used twice",IF($AG291=1,"△ Budget only counts under Portfolio","△ No variance note"))))))&amp;IF($AE291&gt;1," (+"&amp;($AE291-1)&amp;" more)","")))</f>
        <v/>
      </c>
      <c r="Q291" s="28">
        <f>IF(AND($A291&lt;&gt;"",OR($D291="Active",$D291="Paused")),1,0)</f>
        <v/>
      </c>
      <c r="R291" s="28">
        <f>IFERROR(INDEX($A$6:$A$305,MATCH(284,$S$6:$S$305,0)),"")</f>
        <v/>
      </c>
      <c r="S291" s="28">
        <f>IF(AND($A291&lt;&gt;"",$B291="Program"),COUNTIFS($B$6:$B291,"Program",$A$6:$A291,"&lt;&gt;"),"")</f>
        <v/>
      </c>
      <c r="T291" s="30">
        <f>IF(AND($A291&lt;&gt;"",$B291="Program"),SUMPRODUCT(MAX(($C$6:$C$305=$A291)*($B$6:$B$305="Project")*($D$6:$D$305&lt;&gt;"Proposed")*$I$6:$I$305)),0)</f>
        <v/>
      </c>
      <c r="U291" s="30">
        <f>IF($I291&lt;&gt;"",$I291,IF($T291&gt;0,$T291,""))</f>
        <v/>
      </c>
      <c r="V291" s="28">
        <f>IF(AND($A291&lt;&gt;"",$B291="Program"),SUMIFS($J$6:$J$305,$C$6:$C$305,$A291,$B$6:$B$305,"Project",$D$6:$D$305,"&lt;&gt;Proposed"),0)</f>
        <v/>
      </c>
      <c r="W291" s="28">
        <f>IF(AND($A291&lt;&gt;"",$B291="Program"),COUNTIFS($C$6:$C$305,$A291,$B$6:$B$305,"Project",$D$6:$D$305,"&lt;&gt;Proposed")-COUNTIFS($C$6:$C$305,$A291,$B$6:$B$305,"Project",$D$6:$D$305,"&lt;&gt;Proposed",$J$6:$J$305,"&gt;=0"),0)</f>
        <v/>
      </c>
      <c r="X291" s="28">
        <f>IF(OR($Q291=0,$H291="",$AF291="Sprint"),0,IF(AND($B291="Project",$H291&lt;TODAY()),3,IF($U291="",0,IF($U291&lt;=$H291,1,IF(NETWORKDAYS($H291,$U291)-1&gt;IF($B291="Program",Checks!$B$7,Checks!$B$6),3,2)))))</f>
        <v/>
      </c>
      <c r="Y291" s="28">
        <f>IF(OR($Q291=0,$K291="",$K291=0,$AF291="Sprint"),0,IF(AND($B291="Project",$J291=""),0,IF(IF($B291="Program",$V291,$J291)&gt;$K291*(1+Checks!$B$8),3,IF(IF($B291="Program",$V291,$J291)&gt;$K291,2,IF(AND($B291="Program",OR($W291&gt;0,$V291=0)),0,1)))))</f>
        <v/>
      </c>
      <c r="Z291" s="28">
        <f>IF($A291="",0,IF($C291="Portfolio",1,IF(AND($B291="Project",$C291&lt;&gt;"",$C291&lt;&gt;"Outside the portfolio"),IFERROR(IF(AND(INDEX($B$6:$B$305,MATCH($C291,$A$6:$A$305,0))="Program",INDEX($C$6:$C$305,MATCH($C291,$A$6:$A$305,0))="Portfolio"),1,0),0),0)))</f>
        <v/>
      </c>
      <c r="AA291" s="28">
        <f>IF(AND($A291&lt;&gt;"",$E291="",OR($Q291=1,$D291="Proposed")),1,0)</f>
        <v/>
      </c>
      <c r="AB291" s="28">
        <f>IF(AND($A291&lt;&gt;"",$B291="Program",$F291="",$Q291=1),1,0)</f>
        <v/>
      </c>
      <c r="AC291" s="28">
        <f>IF(OR($A291="",$D291="Completed",$D291="Terminated"),0,IF($C291="",1,IF($C291="Portfolio",0,IF($C291="Outside the portfolio",IF($Q291=1,2,0),IF($B291="Project",IF(IFERROR(INDEX($B$6:$B$305,MATCH($C291,$A$6:$A$305,0)),"")="Program",0,1),1)))))</f>
        <v/>
      </c>
      <c r="AD291" s="28">
        <f>IF(AND($A291&lt;&gt;"",OR($M291="■ Red",$M291="◧ Amber"),$L291=""),1,0)</f>
        <v/>
      </c>
      <c r="AE291" s="28">
        <f>$AA291+$AB291+IF($AC291&gt;0,1,0)+$AD291+$AG291+$AH291</f>
        <v/>
      </c>
      <c r="AF291" s="25" t="n"/>
      <c r="AG291" s="28">
        <f>IF(AND($A291&lt;&gt;"",$K291&lt;&gt;"",$C291&lt;&gt;"Portfolio",$D291&lt;&gt;"Completed",$D291&lt;&gt;"Terminated"),1,0)</f>
        <v/>
      </c>
      <c r="AH291" s="28">
        <f>IF(AND($A291&lt;&gt;"",COUNTIF($A$6:$A$305,$A291)&gt;1),1,0)</f>
        <v/>
      </c>
      <c r="AI291" s="28">
        <f>IF(AND($A291&lt;&gt;"",$C291="Portfolio"),COUNTIFS($C$6:$C291,"Portfolio",$A$6:$A291,"&lt;&gt;"),"")</f>
        <v/>
      </c>
    </row>
    <row r="292">
      <c r="A292" s="25" t="n"/>
      <c r="B292" s="25" t="n"/>
      <c r="C292" s="25" t="n"/>
      <c r="D292" s="25" t="n"/>
      <c r="E292" s="25" t="n"/>
      <c r="F292" s="25" t="n"/>
      <c r="G292" s="25" t="n"/>
      <c r="H292" s="26" t="n"/>
      <c r="I292" s="26" t="n"/>
      <c r="J292" s="27" t="n"/>
      <c r="K292" s="27" t="n"/>
      <c r="L292" s="23" t="n"/>
      <c r="M292" s="28">
        <f>IF($A292="","",IF($D292="","Not read",IF($Q292=0,"Not counted",IF(MAX($X292,$Y292)=3,"■ Red",IF(MAX($X292,$Y292)=2,"◧ Amber",IF(MAX($X292,$Y292)=1,"□ On track","Not read"))))))</f>
        <v/>
      </c>
      <c r="N292" s="28">
        <f>IF(OR($A292="",$B292&lt;&gt;"Program"),"","■ "&amp;COUNTIFS($C$6:$C$305,$A292,$M$6:$M$305,"■ Red")&amp;" Red, ◧ "&amp;COUNTIFS($C$6:$C$305,$A292,$M$6:$M$305,"◧ Amber")&amp;" Amber")</f>
        <v/>
      </c>
      <c r="O292" s="29">
        <f>IF(OR($A292="",$E292=""),"",COUNTIFS($E$6:$E$305,$E292,$D$6:$D$305,"Active")+COUNTIFS($E$6:$E$305,$E292,$D$6:$D$305,"Paused"))</f>
        <v/>
      </c>
      <c r="P292" s="28">
        <f>IF($A292="","",IF($AE292=0,"○ Clear",IF($AA292=1,"△ No owner",IF($AC292=1,"△ Check Sits under",IF($AC292=2,"△ Outside the portfolio",IF($AB292=1,"△ No sponsor",IF($AH292=1,"△ Name used twice",IF($AG292=1,"△ Budget only counts under Portfolio","△ No variance note"))))))&amp;IF($AE292&gt;1," (+"&amp;($AE292-1)&amp;" more)","")))</f>
        <v/>
      </c>
      <c r="Q292" s="28">
        <f>IF(AND($A292&lt;&gt;"",OR($D292="Active",$D292="Paused")),1,0)</f>
        <v/>
      </c>
      <c r="R292" s="28">
        <f>IFERROR(INDEX($A$6:$A$305,MATCH(285,$S$6:$S$305,0)),"")</f>
        <v/>
      </c>
      <c r="S292" s="28">
        <f>IF(AND($A292&lt;&gt;"",$B292="Program"),COUNTIFS($B$6:$B292,"Program",$A$6:$A292,"&lt;&gt;"),"")</f>
        <v/>
      </c>
      <c r="T292" s="30">
        <f>IF(AND($A292&lt;&gt;"",$B292="Program"),SUMPRODUCT(MAX(($C$6:$C$305=$A292)*($B$6:$B$305="Project")*($D$6:$D$305&lt;&gt;"Proposed")*$I$6:$I$305)),0)</f>
        <v/>
      </c>
      <c r="U292" s="30">
        <f>IF($I292&lt;&gt;"",$I292,IF($T292&gt;0,$T292,""))</f>
        <v/>
      </c>
      <c r="V292" s="28">
        <f>IF(AND($A292&lt;&gt;"",$B292="Program"),SUMIFS($J$6:$J$305,$C$6:$C$305,$A292,$B$6:$B$305,"Project",$D$6:$D$305,"&lt;&gt;Proposed"),0)</f>
        <v/>
      </c>
      <c r="W292" s="28">
        <f>IF(AND($A292&lt;&gt;"",$B292="Program"),COUNTIFS($C$6:$C$305,$A292,$B$6:$B$305,"Project",$D$6:$D$305,"&lt;&gt;Proposed")-COUNTIFS($C$6:$C$305,$A292,$B$6:$B$305,"Project",$D$6:$D$305,"&lt;&gt;Proposed",$J$6:$J$305,"&gt;=0"),0)</f>
        <v/>
      </c>
      <c r="X292" s="28">
        <f>IF(OR($Q292=0,$H292="",$AF292="Sprint"),0,IF(AND($B292="Project",$H292&lt;TODAY()),3,IF($U292="",0,IF($U292&lt;=$H292,1,IF(NETWORKDAYS($H292,$U292)-1&gt;IF($B292="Program",Checks!$B$7,Checks!$B$6),3,2)))))</f>
        <v/>
      </c>
      <c r="Y292" s="28">
        <f>IF(OR($Q292=0,$K292="",$K292=0,$AF292="Sprint"),0,IF(AND($B292="Project",$J292=""),0,IF(IF($B292="Program",$V292,$J292)&gt;$K292*(1+Checks!$B$8),3,IF(IF($B292="Program",$V292,$J292)&gt;$K292,2,IF(AND($B292="Program",OR($W292&gt;0,$V292=0)),0,1)))))</f>
        <v/>
      </c>
      <c r="Z292" s="28">
        <f>IF($A292="",0,IF($C292="Portfolio",1,IF(AND($B292="Project",$C292&lt;&gt;"",$C292&lt;&gt;"Outside the portfolio"),IFERROR(IF(AND(INDEX($B$6:$B$305,MATCH($C292,$A$6:$A$305,0))="Program",INDEX($C$6:$C$305,MATCH($C292,$A$6:$A$305,0))="Portfolio"),1,0),0),0)))</f>
        <v/>
      </c>
      <c r="AA292" s="28">
        <f>IF(AND($A292&lt;&gt;"",$E292="",OR($Q292=1,$D292="Proposed")),1,0)</f>
        <v/>
      </c>
      <c r="AB292" s="28">
        <f>IF(AND($A292&lt;&gt;"",$B292="Program",$F292="",$Q292=1),1,0)</f>
        <v/>
      </c>
      <c r="AC292" s="28">
        <f>IF(OR($A292="",$D292="Completed",$D292="Terminated"),0,IF($C292="",1,IF($C292="Portfolio",0,IF($C292="Outside the portfolio",IF($Q292=1,2,0),IF($B292="Project",IF(IFERROR(INDEX($B$6:$B$305,MATCH($C292,$A$6:$A$305,0)),"")="Program",0,1),1)))))</f>
        <v/>
      </c>
      <c r="AD292" s="28">
        <f>IF(AND($A292&lt;&gt;"",OR($M292="■ Red",$M292="◧ Amber"),$L292=""),1,0)</f>
        <v/>
      </c>
      <c r="AE292" s="28">
        <f>$AA292+$AB292+IF($AC292&gt;0,1,0)+$AD292+$AG292+$AH292</f>
        <v/>
      </c>
      <c r="AF292" s="25" t="n"/>
      <c r="AG292" s="28">
        <f>IF(AND($A292&lt;&gt;"",$K292&lt;&gt;"",$C292&lt;&gt;"Portfolio",$D292&lt;&gt;"Completed",$D292&lt;&gt;"Terminated"),1,0)</f>
        <v/>
      </c>
      <c r="AH292" s="28">
        <f>IF(AND($A292&lt;&gt;"",COUNTIF($A$6:$A$305,$A292)&gt;1),1,0)</f>
        <v/>
      </c>
      <c r="AI292" s="28">
        <f>IF(AND($A292&lt;&gt;"",$C292="Portfolio"),COUNTIFS($C$6:$C292,"Portfolio",$A$6:$A292,"&lt;&gt;"),"")</f>
        <v/>
      </c>
    </row>
    <row r="293">
      <c r="A293" s="25" t="n"/>
      <c r="B293" s="25" t="n"/>
      <c r="C293" s="25" t="n"/>
      <c r="D293" s="25" t="n"/>
      <c r="E293" s="25" t="n"/>
      <c r="F293" s="25" t="n"/>
      <c r="G293" s="25" t="n"/>
      <c r="H293" s="26" t="n"/>
      <c r="I293" s="26" t="n"/>
      <c r="J293" s="27" t="n"/>
      <c r="K293" s="27" t="n"/>
      <c r="L293" s="23" t="n"/>
      <c r="M293" s="28">
        <f>IF($A293="","",IF($D293="","Not read",IF($Q293=0,"Not counted",IF(MAX($X293,$Y293)=3,"■ Red",IF(MAX($X293,$Y293)=2,"◧ Amber",IF(MAX($X293,$Y293)=1,"□ On track","Not read"))))))</f>
        <v/>
      </c>
      <c r="N293" s="28">
        <f>IF(OR($A293="",$B293&lt;&gt;"Program"),"","■ "&amp;COUNTIFS($C$6:$C$305,$A293,$M$6:$M$305,"■ Red")&amp;" Red, ◧ "&amp;COUNTIFS($C$6:$C$305,$A293,$M$6:$M$305,"◧ Amber")&amp;" Amber")</f>
        <v/>
      </c>
      <c r="O293" s="29">
        <f>IF(OR($A293="",$E293=""),"",COUNTIFS($E$6:$E$305,$E293,$D$6:$D$305,"Active")+COUNTIFS($E$6:$E$305,$E293,$D$6:$D$305,"Paused"))</f>
        <v/>
      </c>
      <c r="P293" s="28">
        <f>IF($A293="","",IF($AE293=0,"○ Clear",IF($AA293=1,"△ No owner",IF($AC293=1,"△ Check Sits under",IF($AC293=2,"△ Outside the portfolio",IF($AB293=1,"△ No sponsor",IF($AH293=1,"△ Name used twice",IF($AG293=1,"△ Budget only counts under Portfolio","△ No variance note"))))))&amp;IF($AE293&gt;1," (+"&amp;($AE293-1)&amp;" more)","")))</f>
        <v/>
      </c>
      <c r="Q293" s="28">
        <f>IF(AND($A293&lt;&gt;"",OR($D293="Active",$D293="Paused")),1,0)</f>
        <v/>
      </c>
      <c r="R293" s="28">
        <f>IFERROR(INDEX($A$6:$A$305,MATCH(286,$S$6:$S$305,0)),"")</f>
        <v/>
      </c>
      <c r="S293" s="28">
        <f>IF(AND($A293&lt;&gt;"",$B293="Program"),COUNTIFS($B$6:$B293,"Program",$A$6:$A293,"&lt;&gt;"),"")</f>
        <v/>
      </c>
      <c r="T293" s="30">
        <f>IF(AND($A293&lt;&gt;"",$B293="Program"),SUMPRODUCT(MAX(($C$6:$C$305=$A293)*($B$6:$B$305="Project")*($D$6:$D$305&lt;&gt;"Proposed")*$I$6:$I$305)),0)</f>
        <v/>
      </c>
      <c r="U293" s="30">
        <f>IF($I293&lt;&gt;"",$I293,IF($T293&gt;0,$T293,""))</f>
        <v/>
      </c>
      <c r="V293" s="28">
        <f>IF(AND($A293&lt;&gt;"",$B293="Program"),SUMIFS($J$6:$J$305,$C$6:$C$305,$A293,$B$6:$B$305,"Project",$D$6:$D$305,"&lt;&gt;Proposed"),0)</f>
        <v/>
      </c>
      <c r="W293" s="28">
        <f>IF(AND($A293&lt;&gt;"",$B293="Program"),COUNTIFS($C$6:$C$305,$A293,$B$6:$B$305,"Project",$D$6:$D$305,"&lt;&gt;Proposed")-COUNTIFS($C$6:$C$305,$A293,$B$6:$B$305,"Project",$D$6:$D$305,"&lt;&gt;Proposed",$J$6:$J$305,"&gt;=0"),0)</f>
        <v/>
      </c>
      <c r="X293" s="28">
        <f>IF(OR($Q293=0,$H293="",$AF293="Sprint"),0,IF(AND($B293="Project",$H293&lt;TODAY()),3,IF($U293="",0,IF($U293&lt;=$H293,1,IF(NETWORKDAYS($H293,$U293)-1&gt;IF($B293="Program",Checks!$B$7,Checks!$B$6),3,2)))))</f>
        <v/>
      </c>
      <c r="Y293" s="28">
        <f>IF(OR($Q293=0,$K293="",$K293=0,$AF293="Sprint"),0,IF(AND($B293="Project",$J293=""),0,IF(IF($B293="Program",$V293,$J293)&gt;$K293*(1+Checks!$B$8),3,IF(IF($B293="Program",$V293,$J293)&gt;$K293,2,IF(AND($B293="Program",OR($W293&gt;0,$V293=0)),0,1)))))</f>
        <v/>
      </c>
      <c r="Z293" s="28">
        <f>IF($A293="",0,IF($C293="Portfolio",1,IF(AND($B293="Project",$C293&lt;&gt;"",$C293&lt;&gt;"Outside the portfolio"),IFERROR(IF(AND(INDEX($B$6:$B$305,MATCH($C293,$A$6:$A$305,0))="Program",INDEX($C$6:$C$305,MATCH($C293,$A$6:$A$305,0))="Portfolio"),1,0),0),0)))</f>
        <v/>
      </c>
      <c r="AA293" s="28">
        <f>IF(AND($A293&lt;&gt;"",$E293="",OR($Q293=1,$D293="Proposed")),1,0)</f>
        <v/>
      </c>
      <c r="AB293" s="28">
        <f>IF(AND($A293&lt;&gt;"",$B293="Program",$F293="",$Q293=1),1,0)</f>
        <v/>
      </c>
      <c r="AC293" s="28">
        <f>IF(OR($A293="",$D293="Completed",$D293="Terminated"),0,IF($C293="",1,IF($C293="Portfolio",0,IF($C293="Outside the portfolio",IF($Q293=1,2,0),IF($B293="Project",IF(IFERROR(INDEX($B$6:$B$305,MATCH($C293,$A$6:$A$305,0)),"")="Program",0,1),1)))))</f>
        <v/>
      </c>
      <c r="AD293" s="28">
        <f>IF(AND($A293&lt;&gt;"",OR($M293="■ Red",$M293="◧ Amber"),$L293=""),1,0)</f>
        <v/>
      </c>
      <c r="AE293" s="28">
        <f>$AA293+$AB293+IF($AC293&gt;0,1,0)+$AD293+$AG293+$AH293</f>
        <v/>
      </c>
      <c r="AF293" s="25" t="n"/>
      <c r="AG293" s="28">
        <f>IF(AND($A293&lt;&gt;"",$K293&lt;&gt;"",$C293&lt;&gt;"Portfolio",$D293&lt;&gt;"Completed",$D293&lt;&gt;"Terminated"),1,0)</f>
        <v/>
      </c>
      <c r="AH293" s="28">
        <f>IF(AND($A293&lt;&gt;"",COUNTIF($A$6:$A$305,$A293)&gt;1),1,0)</f>
        <v/>
      </c>
      <c r="AI293" s="28">
        <f>IF(AND($A293&lt;&gt;"",$C293="Portfolio"),COUNTIFS($C$6:$C293,"Portfolio",$A$6:$A293,"&lt;&gt;"),"")</f>
        <v/>
      </c>
    </row>
    <row r="294">
      <c r="A294" s="25" t="n"/>
      <c r="B294" s="25" t="n"/>
      <c r="C294" s="25" t="n"/>
      <c r="D294" s="25" t="n"/>
      <c r="E294" s="25" t="n"/>
      <c r="F294" s="25" t="n"/>
      <c r="G294" s="25" t="n"/>
      <c r="H294" s="26" t="n"/>
      <c r="I294" s="26" t="n"/>
      <c r="J294" s="27" t="n"/>
      <c r="K294" s="27" t="n"/>
      <c r="L294" s="23" t="n"/>
      <c r="M294" s="28">
        <f>IF($A294="","",IF($D294="","Not read",IF($Q294=0,"Not counted",IF(MAX($X294,$Y294)=3,"■ Red",IF(MAX($X294,$Y294)=2,"◧ Amber",IF(MAX($X294,$Y294)=1,"□ On track","Not read"))))))</f>
        <v/>
      </c>
      <c r="N294" s="28">
        <f>IF(OR($A294="",$B294&lt;&gt;"Program"),"","■ "&amp;COUNTIFS($C$6:$C$305,$A294,$M$6:$M$305,"■ Red")&amp;" Red, ◧ "&amp;COUNTIFS($C$6:$C$305,$A294,$M$6:$M$305,"◧ Amber")&amp;" Amber")</f>
        <v/>
      </c>
      <c r="O294" s="29">
        <f>IF(OR($A294="",$E294=""),"",COUNTIFS($E$6:$E$305,$E294,$D$6:$D$305,"Active")+COUNTIFS($E$6:$E$305,$E294,$D$6:$D$305,"Paused"))</f>
        <v/>
      </c>
      <c r="P294" s="28">
        <f>IF($A294="","",IF($AE294=0,"○ Clear",IF($AA294=1,"△ No owner",IF($AC294=1,"△ Check Sits under",IF($AC294=2,"△ Outside the portfolio",IF($AB294=1,"△ No sponsor",IF($AH294=1,"△ Name used twice",IF($AG294=1,"△ Budget only counts under Portfolio","△ No variance note"))))))&amp;IF($AE294&gt;1," (+"&amp;($AE294-1)&amp;" more)","")))</f>
        <v/>
      </c>
      <c r="Q294" s="28">
        <f>IF(AND($A294&lt;&gt;"",OR($D294="Active",$D294="Paused")),1,0)</f>
        <v/>
      </c>
      <c r="R294" s="28">
        <f>IFERROR(INDEX($A$6:$A$305,MATCH(287,$S$6:$S$305,0)),"")</f>
        <v/>
      </c>
      <c r="S294" s="28">
        <f>IF(AND($A294&lt;&gt;"",$B294="Program"),COUNTIFS($B$6:$B294,"Program",$A$6:$A294,"&lt;&gt;"),"")</f>
        <v/>
      </c>
      <c r="T294" s="30">
        <f>IF(AND($A294&lt;&gt;"",$B294="Program"),SUMPRODUCT(MAX(($C$6:$C$305=$A294)*($B$6:$B$305="Project")*($D$6:$D$305&lt;&gt;"Proposed")*$I$6:$I$305)),0)</f>
        <v/>
      </c>
      <c r="U294" s="30">
        <f>IF($I294&lt;&gt;"",$I294,IF($T294&gt;0,$T294,""))</f>
        <v/>
      </c>
      <c r="V294" s="28">
        <f>IF(AND($A294&lt;&gt;"",$B294="Program"),SUMIFS($J$6:$J$305,$C$6:$C$305,$A294,$B$6:$B$305,"Project",$D$6:$D$305,"&lt;&gt;Proposed"),0)</f>
        <v/>
      </c>
      <c r="W294" s="28">
        <f>IF(AND($A294&lt;&gt;"",$B294="Program"),COUNTIFS($C$6:$C$305,$A294,$B$6:$B$305,"Project",$D$6:$D$305,"&lt;&gt;Proposed")-COUNTIFS($C$6:$C$305,$A294,$B$6:$B$305,"Project",$D$6:$D$305,"&lt;&gt;Proposed",$J$6:$J$305,"&gt;=0"),0)</f>
        <v/>
      </c>
      <c r="X294" s="28">
        <f>IF(OR($Q294=0,$H294="",$AF294="Sprint"),0,IF(AND($B294="Project",$H294&lt;TODAY()),3,IF($U294="",0,IF($U294&lt;=$H294,1,IF(NETWORKDAYS($H294,$U294)-1&gt;IF($B294="Program",Checks!$B$7,Checks!$B$6),3,2)))))</f>
        <v/>
      </c>
      <c r="Y294" s="28">
        <f>IF(OR($Q294=0,$K294="",$K294=0,$AF294="Sprint"),0,IF(AND($B294="Project",$J294=""),0,IF(IF($B294="Program",$V294,$J294)&gt;$K294*(1+Checks!$B$8),3,IF(IF($B294="Program",$V294,$J294)&gt;$K294,2,IF(AND($B294="Program",OR($W294&gt;0,$V294=0)),0,1)))))</f>
        <v/>
      </c>
      <c r="Z294" s="28">
        <f>IF($A294="",0,IF($C294="Portfolio",1,IF(AND($B294="Project",$C294&lt;&gt;"",$C294&lt;&gt;"Outside the portfolio"),IFERROR(IF(AND(INDEX($B$6:$B$305,MATCH($C294,$A$6:$A$305,0))="Program",INDEX($C$6:$C$305,MATCH($C294,$A$6:$A$305,0))="Portfolio"),1,0),0),0)))</f>
        <v/>
      </c>
      <c r="AA294" s="28">
        <f>IF(AND($A294&lt;&gt;"",$E294="",OR($Q294=1,$D294="Proposed")),1,0)</f>
        <v/>
      </c>
      <c r="AB294" s="28">
        <f>IF(AND($A294&lt;&gt;"",$B294="Program",$F294="",$Q294=1),1,0)</f>
        <v/>
      </c>
      <c r="AC294" s="28">
        <f>IF(OR($A294="",$D294="Completed",$D294="Terminated"),0,IF($C294="",1,IF($C294="Portfolio",0,IF($C294="Outside the portfolio",IF($Q294=1,2,0),IF($B294="Project",IF(IFERROR(INDEX($B$6:$B$305,MATCH($C294,$A$6:$A$305,0)),"")="Program",0,1),1)))))</f>
        <v/>
      </c>
      <c r="AD294" s="28">
        <f>IF(AND($A294&lt;&gt;"",OR($M294="■ Red",$M294="◧ Amber"),$L294=""),1,0)</f>
        <v/>
      </c>
      <c r="AE294" s="28">
        <f>$AA294+$AB294+IF($AC294&gt;0,1,0)+$AD294+$AG294+$AH294</f>
        <v/>
      </c>
      <c r="AF294" s="25" t="n"/>
      <c r="AG294" s="28">
        <f>IF(AND($A294&lt;&gt;"",$K294&lt;&gt;"",$C294&lt;&gt;"Portfolio",$D294&lt;&gt;"Completed",$D294&lt;&gt;"Terminated"),1,0)</f>
        <v/>
      </c>
      <c r="AH294" s="28">
        <f>IF(AND($A294&lt;&gt;"",COUNTIF($A$6:$A$305,$A294)&gt;1),1,0)</f>
        <v/>
      </c>
      <c r="AI294" s="28">
        <f>IF(AND($A294&lt;&gt;"",$C294="Portfolio"),COUNTIFS($C$6:$C294,"Portfolio",$A$6:$A294,"&lt;&gt;"),"")</f>
        <v/>
      </c>
    </row>
    <row r="295">
      <c r="A295" s="25" t="n"/>
      <c r="B295" s="25" t="n"/>
      <c r="C295" s="25" t="n"/>
      <c r="D295" s="25" t="n"/>
      <c r="E295" s="25" t="n"/>
      <c r="F295" s="25" t="n"/>
      <c r="G295" s="25" t="n"/>
      <c r="H295" s="26" t="n"/>
      <c r="I295" s="26" t="n"/>
      <c r="J295" s="27" t="n"/>
      <c r="K295" s="27" t="n"/>
      <c r="L295" s="23" t="n"/>
      <c r="M295" s="28">
        <f>IF($A295="","",IF($D295="","Not read",IF($Q295=0,"Not counted",IF(MAX($X295,$Y295)=3,"■ Red",IF(MAX($X295,$Y295)=2,"◧ Amber",IF(MAX($X295,$Y295)=1,"□ On track","Not read"))))))</f>
        <v/>
      </c>
      <c r="N295" s="28">
        <f>IF(OR($A295="",$B295&lt;&gt;"Program"),"","■ "&amp;COUNTIFS($C$6:$C$305,$A295,$M$6:$M$305,"■ Red")&amp;" Red, ◧ "&amp;COUNTIFS($C$6:$C$305,$A295,$M$6:$M$305,"◧ Amber")&amp;" Amber")</f>
        <v/>
      </c>
      <c r="O295" s="29">
        <f>IF(OR($A295="",$E295=""),"",COUNTIFS($E$6:$E$305,$E295,$D$6:$D$305,"Active")+COUNTIFS($E$6:$E$305,$E295,$D$6:$D$305,"Paused"))</f>
        <v/>
      </c>
      <c r="P295" s="28">
        <f>IF($A295="","",IF($AE295=0,"○ Clear",IF($AA295=1,"△ No owner",IF($AC295=1,"△ Check Sits under",IF($AC295=2,"△ Outside the portfolio",IF($AB295=1,"△ No sponsor",IF($AH295=1,"△ Name used twice",IF($AG295=1,"△ Budget only counts under Portfolio","△ No variance note"))))))&amp;IF($AE295&gt;1," (+"&amp;($AE295-1)&amp;" more)","")))</f>
        <v/>
      </c>
      <c r="Q295" s="28">
        <f>IF(AND($A295&lt;&gt;"",OR($D295="Active",$D295="Paused")),1,0)</f>
        <v/>
      </c>
      <c r="R295" s="28">
        <f>IFERROR(INDEX($A$6:$A$305,MATCH(288,$S$6:$S$305,0)),"")</f>
        <v/>
      </c>
      <c r="S295" s="28">
        <f>IF(AND($A295&lt;&gt;"",$B295="Program"),COUNTIFS($B$6:$B295,"Program",$A$6:$A295,"&lt;&gt;"),"")</f>
        <v/>
      </c>
      <c r="T295" s="30">
        <f>IF(AND($A295&lt;&gt;"",$B295="Program"),SUMPRODUCT(MAX(($C$6:$C$305=$A295)*($B$6:$B$305="Project")*($D$6:$D$305&lt;&gt;"Proposed")*$I$6:$I$305)),0)</f>
        <v/>
      </c>
      <c r="U295" s="30">
        <f>IF($I295&lt;&gt;"",$I295,IF($T295&gt;0,$T295,""))</f>
        <v/>
      </c>
      <c r="V295" s="28">
        <f>IF(AND($A295&lt;&gt;"",$B295="Program"),SUMIFS($J$6:$J$305,$C$6:$C$305,$A295,$B$6:$B$305,"Project",$D$6:$D$305,"&lt;&gt;Proposed"),0)</f>
        <v/>
      </c>
      <c r="W295" s="28">
        <f>IF(AND($A295&lt;&gt;"",$B295="Program"),COUNTIFS($C$6:$C$305,$A295,$B$6:$B$305,"Project",$D$6:$D$305,"&lt;&gt;Proposed")-COUNTIFS($C$6:$C$305,$A295,$B$6:$B$305,"Project",$D$6:$D$305,"&lt;&gt;Proposed",$J$6:$J$305,"&gt;=0"),0)</f>
        <v/>
      </c>
      <c r="X295" s="28">
        <f>IF(OR($Q295=0,$H295="",$AF295="Sprint"),0,IF(AND($B295="Project",$H295&lt;TODAY()),3,IF($U295="",0,IF($U295&lt;=$H295,1,IF(NETWORKDAYS($H295,$U295)-1&gt;IF($B295="Program",Checks!$B$7,Checks!$B$6),3,2)))))</f>
        <v/>
      </c>
      <c r="Y295" s="28">
        <f>IF(OR($Q295=0,$K295="",$K295=0,$AF295="Sprint"),0,IF(AND($B295="Project",$J295=""),0,IF(IF($B295="Program",$V295,$J295)&gt;$K295*(1+Checks!$B$8),3,IF(IF($B295="Program",$V295,$J295)&gt;$K295,2,IF(AND($B295="Program",OR($W295&gt;0,$V295=0)),0,1)))))</f>
        <v/>
      </c>
      <c r="Z295" s="28">
        <f>IF($A295="",0,IF($C295="Portfolio",1,IF(AND($B295="Project",$C295&lt;&gt;"",$C295&lt;&gt;"Outside the portfolio"),IFERROR(IF(AND(INDEX($B$6:$B$305,MATCH($C295,$A$6:$A$305,0))="Program",INDEX($C$6:$C$305,MATCH($C295,$A$6:$A$305,0))="Portfolio"),1,0),0),0)))</f>
        <v/>
      </c>
      <c r="AA295" s="28">
        <f>IF(AND($A295&lt;&gt;"",$E295="",OR($Q295=1,$D295="Proposed")),1,0)</f>
        <v/>
      </c>
      <c r="AB295" s="28">
        <f>IF(AND($A295&lt;&gt;"",$B295="Program",$F295="",$Q295=1),1,0)</f>
        <v/>
      </c>
      <c r="AC295" s="28">
        <f>IF(OR($A295="",$D295="Completed",$D295="Terminated"),0,IF($C295="",1,IF($C295="Portfolio",0,IF($C295="Outside the portfolio",IF($Q295=1,2,0),IF($B295="Project",IF(IFERROR(INDEX($B$6:$B$305,MATCH($C295,$A$6:$A$305,0)),"")="Program",0,1),1)))))</f>
        <v/>
      </c>
      <c r="AD295" s="28">
        <f>IF(AND($A295&lt;&gt;"",OR($M295="■ Red",$M295="◧ Amber"),$L295=""),1,0)</f>
        <v/>
      </c>
      <c r="AE295" s="28">
        <f>$AA295+$AB295+IF($AC295&gt;0,1,0)+$AD295+$AG295+$AH295</f>
        <v/>
      </c>
      <c r="AF295" s="25" t="n"/>
      <c r="AG295" s="28">
        <f>IF(AND($A295&lt;&gt;"",$K295&lt;&gt;"",$C295&lt;&gt;"Portfolio",$D295&lt;&gt;"Completed",$D295&lt;&gt;"Terminated"),1,0)</f>
        <v/>
      </c>
      <c r="AH295" s="28">
        <f>IF(AND($A295&lt;&gt;"",COUNTIF($A$6:$A$305,$A295)&gt;1),1,0)</f>
        <v/>
      </c>
      <c r="AI295" s="28">
        <f>IF(AND($A295&lt;&gt;"",$C295="Portfolio"),COUNTIFS($C$6:$C295,"Portfolio",$A$6:$A295,"&lt;&gt;"),"")</f>
        <v/>
      </c>
    </row>
    <row r="296">
      <c r="A296" s="25" t="n"/>
      <c r="B296" s="25" t="n"/>
      <c r="C296" s="25" t="n"/>
      <c r="D296" s="25" t="n"/>
      <c r="E296" s="25" t="n"/>
      <c r="F296" s="25" t="n"/>
      <c r="G296" s="25" t="n"/>
      <c r="H296" s="26" t="n"/>
      <c r="I296" s="26" t="n"/>
      <c r="J296" s="27" t="n"/>
      <c r="K296" s="27" t="n"/>
      <c r="L296" s="23" t="n"/>
      <c r="M296" s="28">
        <f>IF($A296="","",IF($D296="","Not read",IF($Q296=0,"Not counted",IF(MAX($X296,$Y296)=3,"■ Red",IF(MAX($X296,$Y296)=2,"◧ Amber",IF(MAX($X296,$Y296)=1,"□ On track","Not read"))))))</f>
        <v/>
      </c>
      <c r="N296" s="28">
        <f>IF(OR($A296="",$B296&lt;&gt;"Program"),"","■ "&amp;COUNTIFS($C$6:$C$305,$A296,$M$6:$M$305,"■ Red")&amp;" Red, ◧ "&amp;COUNTIFS($C$6:$C$305,$A296,$M$6:$M$305,"◧ Amber")&amp;" Amber")</f>
        <v/>
      </c>
      <c r="O296" s="29">
        <f>IF(OR($A296="",$E296=""),"",COUNTIFS($E$6:$E$305,$E296,$D$6:$D$305,"Active")+COUNTIFS($E$6:$E$305,$E296,$D$6:$D$305,"Paused"))</f>
        <v/>
      </c>
      <c r="P296" s="28">
        <f>IF($A296="","",IF($AE296=0,"○ Clear",IF($AA296=1,"△ No owner",IF($AC296=1,"△ Check Sits under",IF($AC296=2,"△ Outside the portfolio",IF($AB296=1,"△ No sponsor",IF($AH296=1,"△ Name used twice",IF($AG296=1,"△ Budget only counts under Portfolio","△ No variance note"))))))&amp;IF($AE296&gt;1," (+"&amp;($AE296-1)&amp;" more)","")))</f>
        <v/>
      </c>
      <c r="Q296" s="28">
        <f>IF(AND($A296&lt;&gt;"",OR($D296="Active",$D296="Paused")),1,0)</f>
        <v/>
      </c>
      <c r="R296" s="28">
        <f>IFERROR(INDEX($A$6:$A$305,MATCH(289,$S$6:$S$305,0)),"")</f>
        <v/>
      </c>
      <c r="S296" s="28">
        <f>IF(AND($A296&lt;&gt;"",$B296="Program"),COUNTIFS($B$6:$B296,"Program",$A$6:$A296,"&lt;&gt;"),"")</f>
        <v/>
      </c>
      <c r="T296" s="30">
        <f>IF(AND($A296&lt;&gt;"",$B296="Program"),SUMPRODUCT(MAX(($C$6:$C$305=$A296)*($B$6:$B$305="Project")*($D$6:$D$305&lt;&gt;"Proposed")*$I$6:$I$305)),0)</f>
        <v/>
      </c>
      <c r="U296" s="30">
        <f>IF($I296&lt;&gt;"",$I296,IF($T296&gt;0,$T296,""))</f>
        <v/>
      </c>
      <c r="V296" s="28">
        <f>IF(AND($A296&lt;&gt;"",$B296="Program"),SUMIFS($J$6:$J$305,$C$6:$C$305,$A296,$B$6:$B$305,"Project",$D$6:$D$305,"&lt;&gt;Proposed"),0)</f>
        <v/>
      </c>
      <c r="W296" s="28">
        <f>IF(AND($A296&lt;&gt;"",$B296="Program"),COUNTIFS($C$6:$C$305,$A296,$B$6:$B$305,"Project",$D$6:$D$305,"&lt;&gt;Proposed")-COUNTIFS($C$6:$C$305,$A296,$B$6:$B$305,"Project",$D$6:$D$305,"&lt;&gt;Proposed",$J$6:$J$305,"&gt;=0"),0)</f>
        <v/>
      </c>
      <c r="X296" s="28">
        <f>IF(OR($Q296=0,$H296="",$AF296="Sprint"),0,IF(AND($B296="Project",$H296&lt;TODAY()),3,IF($U296="",0,IF($U296&lt;=$H296,1,IF(NETWORKDAYS($H296,$U296)-1&gt;IF($B296="Program",Checks!$B$7,Checks!$B$6),3,2)))))</f>
        <v/>
      </c>
      <c r="Y296" s="28">
        <f>IF(OR($Q296=0,$K296="",$K296=0,$AF296="Sprint"),0,IF(AND($B296="Project",$J296=""),0,IF(IF($B296="Program",$V296,$J296)&gt;$K296*(1+Checks!$B$8),3,IF(IF($B296="Program",$V296,$J296)&gt;$K296,2,IF(AND($B296="Program",OR($W296&gt;0,$V296=0)),0,1)))))</f>
        <v/>
      </c>
      <c r="Z296" s="28">
        <f>IF($A296="",0,IF($C296="Portfolio",1,IF(AND($B296="Project",$C296&lt;&gt;"",$C296&lt;&gt;"Outside the portfolio"),IFERROR(IF(AND(INDEX($B$6:$B$305,MATCH($C296,$A$6:$A$305,0))="Program",INDEX($C$6:$C$305,MATCH($C296,$A$6:$A$305,0))="Portfolio"),1,0),0),0)))</f>
        <v/>
      </c>
      <c r="AA296" s="28">
        <f>IF(AND($A296&lt;&gt;"",$E296="",OR($Q296=1,$D296="Proposed")),1,0)</f>
        <v/>
      </c>
      <c r="AB296" s="28">
        <f>IF(AND($A296&lt;&gt;"",$B296="Program",$F296="",$Q296=1),1,0)</f>
        <v/>
      </c>
      <c r="AC296" s="28">
        <f>IF(OR($A296="",$D296="Completed",$D296="Terminated"),0,IF($C296="",1,IF($C296="Portfolio",0,IF($C296="Outside the portfolio",IF($Q296=1,2,0),IF($B296="Project",IF(IFERROR(INDEX($B$6:$B$305,MATCH($C296,$A$6:$A$305,0)),"")="Program",0,1),1)))))</f>
        <v/>
      </c>
      <c r="AD296" s="28">
        <f>IF(AND($A296&lt;&gt;"",OR($M296="■ Red",$M296="◧ Amber"),$L296=""),1,0)</f>
        <v/>
      </c>
      <c r="AE296" s="28">
        <f>$AA296+$AB296+IF($AC296&gt;0,1,0)+$AD296+$AG296+$AH296</f>
        <v/>
      </c>
      <c r="AF296" s="25" t="n"/>
      <c r="AG296" s="28">
        <f>IF(AND($A296&lt;&gt;"",$K296&lt;&gt;"",$C296&lt;&gt;"Portfolio",$D296&lt;&gt;"Completed",$D296&lt;&gt;"Terminated"),1,0)</f>
        <v/>
      </c>
      <c r="AH296" s="28">
        <f>IF(AND($A296&lt;&gt;"",COUNTIF($A$6:$A$305,$A296)&gt;1),1,0)</f>
        <v/>
      </c>
      <c r="AI296" s="28">
        <f>IF(AND($A296&lt;&gt;"",$C296="Portfolio"),COUNTIFS($C$6:$C296,"Portfolio",$A$6:$A296,"&lt;&gt;"),"")</f>
        <v/>
      </c>
    </row>
    <row r="297">
      <c r="A297" s="25" t="n"/>
      <c r="B297" s="25" t="n"/>
      <c r="C297" s="25" t="n"/>
      <c r="D297" s="25" t="n"/>
      <c r="E297" s="25" t="n"/>
      <c r="F297" s="25" t="n"/>
      <c r="G297" s="25" t="n"/>
      <c r="H297" s="26" t="n"/>
      <c r="I297" s="26" t="n"/>
      <c r="J297" s="27" t="n"/>
      <c r="K297" s="27" t="n"/>
      <c r="L297" s="23" t="n"/>
      <c r="M297" s="28">
        <f>IF($A297="","",IF($D297="","Not read",IF($Q297=0,"Not counted",IF(MAX($X297,$Y297)=3,"■ Red",IF(MAX($X297,$Y297)=2,"◧ Amber",IF(MAX($X297,$Y297)=1,"□ On track","Not read"))))))</f>
        <v/>
      </c>
      <c r="N297" s="28">
        <f>IF(OR($A297="",$B297&lt;&gt;"Program"),"","■ "&amp;COUNTIFS($C$6:$C$305,$A297,$M$6:$M$305,"■ Red")&amp;" Red, ◧ "&amp;COUNTIFS($C$6:$C$305,$A297,$M$6:$M$305,"◧ Amber")&amp;" Amber")</f>
        <v/>
      </c>
      <c r="O297" s="29">
        <f>IF(OR($A297="",$E297=""),"",COUNTIFS($E$6:$E$305,$E297,$D$6:$D$305,"Active")+COUNTIFS($E$6:$E$305,$E297,$D$6:$D$305,"Paused"))</f>
        <v/>
      </c>
      <c r="P297" s="28">
        <f>IF($A297="","",IF($AE297=0,"○ Clear",IF($AA297=1,"△ No owner",IF($AC297=1,"△ Check Sits under",IF($AC297=2,"△ Outside the portfolio",IF($AB297=1,"△ No sponsor",IF($AH297=1,"△ Name used twice",IF($AG297=1,"△ Budget only counts under Portfolio","△ No variance note"))))))&amp;IF($AE297&gt;1," (+"&amp;($AE297-1)&amp;" more)","")))</f>
        <v/>
      </c>
      <c r="Q297" s="28">
        <f>IF(AND($A297&lt;&gt;"",OR($D297="Active",$D297="Paused")),1,0)</f>
        <v/>
      </c>
      <c r="R297" s="28">
        <f>IFERROR(INDEX($A$6:$A$305,MATCH(290,$S$6:$S$305,0)),"")</f>
        <v/>
      </c>
      <c r="S297" s="28">
        <f>IF(AND($A297&lt;&gt;"",$B297="Program"),COUNTIFS($B$6:$B297,"Program",$A$6:$A297,"&lt;&gt;"),"")</f>
        <v/>
      </c>
      <c r="T297" s="30">
        <f>IF(AND($A297&lt;&gt;"",$B297="Program"),SUMPRODUCT(MAX(($C$6:$C$305=$A297)*($B$6:$B$305="Project")*($D$6:$D$305&lt;&gt;"Proposed")*$I$6:$I$305)),0)</f>
        <v/>
      </c>
      <c r="U297" s="30">
        <f>IF($I297&lt;&gt;"",$I297,IF($T297&gt;0,$T297,""))</f>
        <v/>
      </c>
      <c r="V297" s="28">
        <f>IF(AND($A297&lt;&gt;"",$B297="Program"),SUMIFS($J$6:$J$305,$C$6:$C$305,$A297,$B$6:$B$305,"Project",$D$6:$D$305,"&lt;&gt;Proposed"),0)</f>
        <v/>
      </c>
      <c r="W297" s="28">
        <f>IF(AND($A297&lt;&gt;"",$B297="Program"),COUNTIFS($C$6:$C$305,$A297,$B$6:$B$305,"Project",$D$6:$D$305,"&lt;&gt;Proposed")-COUNTIFS($C$6:$C$305,$A297,$B$6:$B$305,"Project",$D$6:$D$305,"&lt;&gt;Proposed",$J$6:$J$305,"&gt;=0"),0)</f>
        <v/>
      </c>
      <c r="X297" s="28">
        <f>IF(OR($Q297=0,$H297="",$AF297="Sprint"),0,IF(AND($B297="Project",$H297&lt;TODAY()),3,IF($U297="",0,IF($U297&lt;=$H297,1,IF(NETWORKDAYS($H297,$U297)-1&gt;IF($B297="Program",Checks!$B$7,Checks!$B$6),3,2)))))</f>
        <v/>
      </c>
      <c r="Y297" s="28">
        <f>IF(OR($Q297=0,$K297="",$K297=0,$AF297="Sprint"),0,IF(AND($B297="Project",$J297=""),0,IF(IF($B297="Program",$V297,$J297)&gt;$K297*(1+Checks!$B$8),3,IF(IF($B297="Program",$V297,$J297)&gt;$K297,2,IF(AND($B297="Program",OR($W297&gt;0,$V297=0)),0,1)))))</f>
        <v/>
      </c>
      <c r="Z297" s="28">
        <f>IF($A297="",0,IF($C297="Portfolio",1,IF(AND($B297="Project",$C297&lt;&gt;"",$C297&lt;&gt;"Outside the portfolio"),IFERROR(IF(AND(INDEX($B$6:$B$305,MATCH($C297,$A$6:$A$305,0))="Program",INDEX($C$6:$C$305,MATCH($C297,$A$6:$A$305,0))="Portfolio"),1,0),0),0)))</f>
        <v/>
      </c>
      <c r="AA297" s="28">
        <f>IF(AND($A297&lt;&gt;"",$E297="",OR($Q297=1,$D297="Proposed")),1,0)</f>
        <v/>
      </c>
      <c r="AB297" s="28">
        <f>IF(AND($A297&lt;&gt;"",$B297="Program",$F297="",$Q297=1),1,0)</f>
        <v/>
      </c>
      <c r="AC297" s="28">
        <f>IF(OR($A297="",$D297="Completed",$D297="Terminated"),0,IF($C297="",1,IF($C297="Portfolio",0,IF($C297="Outside the portfolio",IF($Q297=1,2,0),IF($B297="Project",IF(IFERROR(INDEX($B$6:$B$305,MATCH($C297,$A$6:$A$305,0)),"")="Program",0,1),1)))))</f>
        <v/>
      </c>
      <c r="AD297" s="28">
        <f>IF(AND($A297&lt;&gt;"",OR($M297="■ Red",$M297="◧ Amber"),$L297=""),1,0)</f>
        <v/>
      </c>
      <c r="AE297" s="28">
        <f>$AA297+$AB297+IF($AC297&gt;0,1,0)+$AD297+$AG297+$AH297</f>
        <v/>
      </c>
      <c r="AF297" s="25" t="n"/>
      <c r="AG297" s="28">
        <f>IF(AND($A297&lt;&gt;"",$K297&lt;&gt;"",$C297&lt;&gt;"Portfolio",$D297&lt;&gt;"Completed",$D297&lt;&gt;"Terminated"),1,0)</f>
        <v/>
      </c>
      <c r="AH297" s="28">
        <f>IF(AND($A297&lt;&gt;"",COUNTIF($A$6:$A$305,$A297)&gt;1),1,0)</f>
        <v/>
      </c>
      <c r="AI297" s="28">
        <f>IF(AND($A297&lt;&gt;"",$C297="Portfolio"),COUNTIFS($C$6:$C297,"Portfolio",$A$6:$A297,"&lt;&gt;"),"")</f>
        <v/>
      </c>
    </row>
    <row r="298">
      <c r="A298" s="25" t="n"/>
      <c r="B298" s="25" t="n"/>
      <c r="C298" s="25" t="n"/>
      <c r="D298" s="25" t="n"/>
      <c r="E298" s="25" t="n"/>
      <c r="F298" s="25" t="n"/>
      <c r="G298" s="25" t="n"/>
      <c r="H298" s="26" t="n"/>
      <c r="I298" s="26" t="n"/>
      <c r="J298" s="27" t="n"/>
      <c r="K298" s="27" t="n"/>
      <c r="L298" s="23" t="n"/>
      <c r="M298" s="28">
        <f>IF($A298="","",IF($D298="","Not read",IF($Q298=0,"Not counted",IF(MAX($X298,$Y298)=3,"■ Red",IF(MAX($X298,$Y298)=2,"◧ Amber",IF(MAX($X298,$Y298)=1,"□ On track","Not read"))))))</f>
        <v/>
      </c>
      <c r="N298" s="28">
        <f>IF(OR($A298="",$B298&lt;&gt;"Program"),"","■ "&amp;COUNTIFS($C$6:$C$305,$A298,$M$6:$M$305,"■ Red")&amp;" Red, ◧ "&amp;COUNTIFS($C$6:$C$305,$A298,$M$6:$M$305,"◧ Amber")&amp;" Amber")</f>
        <v/>
      </c>
      <c r="O298" s="29">
        <f>IF(OR($A298="",$E298=""),"",COUNTIFS($E$6:$E$305,$E298,$D$6:$D$305,"Active")+COUNTIFS($E$6:$E$305,$E298,$D$6:$D$305,"Paused"))</f>
        <v/>
      </c>
      <c r="P298" s="28">
        <f>IF($A298="","",IF($AE298=0,"○ Clear",IF($AA298=1,"△ No owner",IF($AC298=1,"△ Check Sits under",IF($AC298=2,"△ Outside the portfolio",IF($AB298=1,"△ No sponsor",IF($AH298=1,"△ Name used twice",IF($AG298=1,"△ Budget only counts under Portfolio","△ No variance note"))))))&amp;IF($AE298&gt;1," (+"&amp;($AE298-1)&amp;" more)","")))</f>
        <v/>
      </c>
      <c r="Q298" s="28">
        <f>IF(AND($A298&lt;&gt;"",OR($D298="Active",$D298="Paused")),1,0)</f>
        <v/>
      </c>
      <c r="R298" s="28">
        <f>IFERROR(INDEX($A$6:$A$305,MATCH(291,$S$6:$S$305,0)),"")</f>
        <v/>
      </c>
      <c r="S298" s="28">
        <f>IF(AND($A298&lt;&gt;"",$B298="Program"),COUNTIFS($B$6:$B298,"Program",$A$6:$A298,"&lt;&gt;"),"")</f>
        <v/>
      </c>
      <c r="T298" s="30">
        <f>IF(AND($A298&lt;&gt;"",$B298="Program"),SUMPRODUCT(MAX(($C$6:$C$305=$A298)*($B$6:$B$305="Project")*($D$6:$D$305&lt;&gt;"Proposed")*$I$6:$I$305)),0)</f>
        <v/>
      </c>
      <c r="U298" s="30">
        <f>IF($I298&lt;&gt;"",$I298,IF($T298&gt;0,$T298,""))</f>
        <v/>
      </c>
      <c r="V298" s="28">
        <f>IF(AND($A298&lt;&gt;"",$B298="Program"),SUMIFS($J$6:$J$305,$C$6:$C$305,$A298,$B$6:$B$305,"Project",$D$6:$D$305,"&lt;&gt;Proposed"),0)</f>
        <v/>
      </c>
      <c r="W298" s="28">
        <f>IF(AND($A298&lt;&gt;"",$B298="Program"),COUNTIFS($C$6:$C$305,$A298,$B$6:$B$305,"Project",$D$6:$D$305,"&lt;&gt;Proposed")-COUNTIFS($C$6:$C$305,$A298,$B$6:$B$305,"Project",$D$6:$D$305,"&lt;&gt;Proposed",$J$6:$J$305,"&gt;=0"),0)</f>
        <v/>
      </c>
      <c r="X298" s="28">
        <f>IF(OR($Q298=0,$H298="",$AF298="Sprint"),0,IF(AND($B298="Project",$H298&lt;TODAY()),3,IF($U298="",0,IF($U298&lt;=$H298,1,IF(NETWORKDAYS($H298,$U298)-1&gt;IF($B298="Program",Checks!$B$7,Checks!$B$6),3,2)))))</f>
        <v/>
      </c>
      <c r="Y298" s="28">
        <f>IF(OR($Q298=0,$K298="",$K298=0,$AF298="Sprint"),0,IF(AND($B298="Project",$J298=""),0,IF(IF($B298="Program",$V298,$J298)&gt;$K298*(1+Checks!$B$8),3,IF(IF($B298="Program",$V298,$J298)&gt;$K298,2,IF(AND($B298="Program",OR($W298&gt;0,$V298=0)),0,1)))))</f>
        <v/>
      </c>
      <c r="Z298" s="28">
        <f>IF($A298="",0,IF($C298="Portfolio",1,IF(AND($B298="Project",$C298&lt;&gt;"",$C298&lt;&gt;"Outside the portfolio"),IFERROR(IF(AND(INDEX($B$6:$B$305,MATCH($C298,$A$6:$A$305,0))="Program",INDEX($C$6:$C$305,MATCH($C298,$A$6:$A$305,0))="Portfolio"),1,0),0),0)))</f>
        <v/>
      </c>
      <c r="AA298" s="28">
        <f>IF(AND($A298&lt;&gt;"",$E298="",OR($Q298=1,$D298="Proposed")),1,0)</f>
        <v/>
      </c>
      <c r="AB298" s="28">
        <f>IF(AND($A298&lt;&gt;"",$B298="Program",$F298="",$Q298=1),1,0)</f>
        <v/>
      </c>
      <c r="AC298" s="28">
        <f>IF(OR($A298="",$D298="Completed",$D298="Terminated"),0,IF($C298="",1,IF($C298="Portfolio",0,IF($C298="Outside the portfolio",IF($Q298=1,2,0),IF($B298="Project",IF(IFERROR(INDEX($B$6:$B$305,MATCH($C298,$A$6:$A$305,0)),"")="Program",0,1),1)))))</f>
        <v/>
      </c>
      <c r="AD298" s="28">
        <f>IF(AND($A298&lt;&gt;"",OR($M298="■ Red",$M298="◧ Amber"),$L298=""),1,0)</f>
        <v/>
      </c>
      <c r="AE298" s="28">
        <f>$AA298+$AB298+IF($AC298&gt;0,1,0)+$AD298+$AG298+$AH298</f>
        <v/>
      </c>
      <c r="AF298" s="25" t="n"/>
      <c r="AG298" s="28">
        <f>IF(AND($A298&lt;&gt;"",$K298&lt;&gt;"",$C298&lt;&gt;"Portfolio",$D298&lt;&gt;"Completed",$D298&lt;&gt;"Terminated"),1,0)</f>
        <v/>
      </c>
      <c r="AH298" s="28">
        <f>IF(AND($A298&lt;&gt;"",COUNTIF($A$6:$A$305,$A298)&gt;1),1,0)</f>
        <v/>
      </c>
      <c r="AI298" s="28">
        <f>IF(AND($A298&lt;&gt;"",$C298="Portfolio"),COUNTIFS($C$6:$C298,"Portfolio",$A$6:$A298,"&lt;&gt;"),"")</f>
        <v/>
      </c>
    </row>
    <row r="299">
      <c r="A299" s="25" t="n"/>
      <c r="B299" s="25" t="n"/>
      <c r="C299" s="25" t="n"/>
      <c r="D299" s="25" t="n"/>
      <c r="E299" s="25" t="n"/>
      <c r="F299" s="25" t="n"/>
      <c r="G299" s="25" t="n"/>
      <c r="H299" s="26" t="n"/>
      <c r="I299" s="26" t="n"/>
      <c r="J299" s="27" t="n"/>
      <c r="K299" s="27" t="n"/>
      <c r="L299" s="23" t="n"/>
      <c r="M299" s="28">
        <f>IF($A299="","",IF($D299="","Not read",IF($Q299=0,"Not counted",IF(MAX($X299,$Y299)=3,"■ Red",IF(MAX($X299,$Y299)=2,"◧ Amber",IF(MAX($X299,$Y299)=1,"□ On track","Not read"))))))</f>
        <v/>
      </c>
      <c r="N299" s="28">
        <f>IF(OR($A299="",$B299&lt;&gt;"Program"),"","■ "&amp;COUNTIFS($C$6:$C$305,$A299,$M$6:$M$305,"■ Red")&amp;" Red, ◧ "&amp;COUNTIFS($C$6:$C$305,$A299,$M$6:$M$305,"◧ Amber")&amp;" Amber")</f>
        <v/>
      </c>
      <c r="O299" s="29">
        <f>IF(OR($A299="",$E299=""),"",COUNTIFS($E$6:$E$305,$E299,$D$6:$D$305,"Active")+COUNTIFS($E$6:$E$305,$E299,$D$6:$D$305,"Paused"))</f>
        <v/>
      </c>
      <c r="P299" s="28">
        <f>IF($A299="","",IF($AE299=0,"○ Clear",IF($AA299=1,"△ No owner",IF($AC299=1,"△ Check Sits under",IF($AC299=2,"△ Outside the portfolio",IF($AB299=1,"△ No sponsor",IF($AH299=1,"△ Name used twice",IF($AG299=1,"△ Budget only counts under Portfolio","△ No variance note"))))))&amp;IF($AE299&gt;1," (+"&amp;($AE299-1)&amp;" more)","")))</f>
        <v/>
      </c>
      <c r="Q299" s="28">
        <f>IF(AND($A299&lt;&gt;"",OR($D299="Active",$D299="Paused")),1,0)</f>
        <v/>
      </c>
      <c r="R299" s="28">
        <f>IFERROR(INDEX($A$6:$A$305,MATCH(292,$S$6:$S$305,0)),"")</f>
        <v/>
      </c>
      <c r="S299" s="28">
        <f>IF(AND($A299&lt;&gt;"",$B299="Program"),COUNTIFS($B$6:$B299,"Program",$A$6:$A299,"&lt;&gt;"),"")</f>
        <v/>
      </c>
      <c r="T299" s="30">
        <f>IF(AND($A299&lt;&gt;"",$B299="Program"),SUMPRODUCT(MAX(($C$6:$C$305=$A299)*($B$6:$B$305="Project")*($D$6:$D$305&lt;&gt;"Proposed")*$I$6:$I$305)),0)</f>
        <v/>
      </c>
      <c r="U299" s="30">
        <f>IF($I299&lt;&gt;"",$I299,IF($T299&gt;0,$T299,""))</f>
        <v/>
      </c>
      <c r="V299" s="28">
        <f>IF(AND($A299&lt;&gt;"",$B299="Program"),SUMIFS($J$6:$J$305,$C$6:$C$305,$A299,$B$6:$B$305,"Project",$D$6:$D$305,"&lt;&gt;Proposed"),0)</f>
        <v/>
      </c>
      <c r="W299" s="28">
        <f>IF(AND($A299&lt;&gt;"",$B299="Program"),COUNTIFS($C$6:$C$305,$A299,$B$6:$B$305,"Project",$D$6:$D$305,"&lt;&gt;Proposed")-COUNTIFS($C$6:$C$305,$A299,$B$6:$B$305,"Project",$D$6:$D$305,"&lt;&gt;Proposed",$J$6:$J$305,"&gt;=0"),0)</f>
        <v/>
      </c>
      <c r="X299" s="28">
        <f>IF(OR($Q299=0,$H299="",$AF299="Sprint"),0,IF(AND($B299="Project",$H299&lt;TODAY()),3,IF($U299="",0,IF($U299&lt;=$H299,1,IF(NETWORKDAYS($H299,$U299)-1&gt;IF($B299="Program",Checks!$B$7,Checks!$B$6),3,2)))))</f>
        <v/>
      </c>
      <c r="Y299" s="28">
        <f>IF(OR($Q299=0,$K299="",$K299=0,$AF299="Sprint"),0,IF(AND($B299="Project",$J299=""),0,IF(IF($B299="Program",$V299,$J299)&gt;$K299*(1+Checks!$B$8),3,IF(IF($B299="Program",$V299,$J299)&gt;$K299,2,IF(AND($B299="Program",OR($W299&gt;0,$V299=0)),0,1)))))</f>
        <v/>
      </c>
      <c r="Z299" s="28">
        <f>IF($A299="",0,IF($C299="Portfolio",1,IF(AND($B299="Project",$C299&lt;&gt;"",$C299&lt;&gt;"Outside the portfolio"),IFERROR(IF(AND(INDEX($B$6:$B$305,MATCH($C299,$A$6:$A$305,0))="Program",INDEX($C$6:$C$305,MATCH($C299,$A$6:$A$305,0))="Portfolio"),1,0),0),0)))</f>
        <v/>
      </c>
      <c r="AA299" s="28">
        <f>IF(AND($A299&lt;&gt;"",$E299="",OR($Q299=1,$D299="Proposed")),1,0)</f>
        <v/>
      </c>
      <c r="AB299" s="28">
        <f>IF(AND($A299&lt;&gt;"",$B299="Program",$F299="",$Q299=1),1,0)</f>
        <v/>
      </c>
      <c r="AC299" s="28">
        <f>IF(OR($A299="",$D299="Completed",$D299="Terminated"),0,IF($C299="",1,IF($C299="Portfolio",0,IF($C299="Outside the portfolio",IF($Q299=1,2,0),IF($B299="Project",IF(IFERROR(INDEX($B$6:$B$305,MATCH($C299,$A$6:$A$305,0)),"")="Program",0,1),1)))))</f>
        <v/>
      </c>
      <c r="AD299" s="28">
        <f>IF(AND($A299&lt;&gt;"",OR($M299="■ Red",$M299="◧ Amber"),$L299=""),1,0)</f>
        <v/>
      </c>
      <c r="AE299" s="28">
        <f>$AA299+$AB299+IF($AC299&gt;0,1,0)+$AD299+$AG299+$AH299</f>
        <v/>
      </c>
      <c r="AF299" s="25" t="n"/>
      <c r="AG299" s="28">
        <f>IF(AND($A299&lt;&gt;"",$K299&lt;&gt;"",$C299&lt;&gt;"Portfolio",$D299&lt;&gt;"Completed",$D299&lt;&gt;"Terminated"),1,0)</f>
        <v/>
      </c>
      <c r="AH299" s="28">
        <f>IF(AND($A299&lt;&gt;"",COUNTIF($A$6:$A$305,$A299)&gt;1),1,0)</f>
        <v/>
      </c>
      <c r="AI299" s="28">
        <f>IF(AND($A299&lt;&gt;"",$C299="Portfolio"),COUNTIFS($C$6:$C299,"Portfolio",$A$6:$A299,"&lt;&gt;"),"")</f>
        <v/>
      </c>
    </row>
    <row r="300">
      <c r="A300" s="25" t="n"/>
      <c r="B300" s="25" t="n"/>
      <c r="C300" s="25" t="n"/>
      <c r="D300" s="25" t="n"/>
      <c r="E300" s="25" t="n"/>
      <c r="F300" s="25" t="n"/>
      <c r="G300" s="25" t="n"/>
      <c r="H300" s="26" t="n"/>
      <c r="I300" s="26" t="n"/>
      <c r="J300" s="27" t="n"/>
      <c r="K300" s="27" t="n"/>
      <c r="L300" s="23" t="n"/>
      <c r="M300" s="28">
        <f>IF($A300="","",IF($D300="","Not read",IF($Q300=0,"Not counted",IF(MAX($X300,$Y300)=3,"■ Red",IF(MAX($X300,$Y300)=2,"◧ Amber",IF(MAX($X300,$Y300)=1,"□ On track","Not read"))))))</f>
        <v/>
      </c>
      <c r="N300" s="28">
        <f>IF(OR($A300="",$B300&lt;&gt;"Program"),"","■ "&amp;COUNTIFS($C$6:$C$305,$A300,$M$6:$M$305,"■ Red")&amp;" Red, ◧ "&amp;COUNTIFS($C$6:$C$305,$A300,$M$6:$M$305,"◧ Amber")&amp;" Amber")</f>
        <v/>
      </c>
      <c r="O300" s="29">
        <f>IF(OR($A300="",$E300=""),"",COUNTIFS($E$6:$E$305,$E300,$D$6:$D$305,"Active")+COUNTIFS($E$6:$E$305,$E300,$D$6:$D$305,"Paused"))</f>
        <v/>
      </c>
      <c r="P300" s="28">
        <f>IF($A300="","",IF($AE300=0,"○ Clear",IF($AA300=1,"△ No owner",IF($AC300=1,"△ Check Sits under",IF($AC300=2,"△ Outside the portfolio",IF($AB300=1,"△ No sponsor",IF($AH300=1,"△ Name used twice",IF($AG300=1,"△ Budget only counts under Portfolio","△ No variance note"))))))&amp;IF($AE300&gt;1," (+"&amp;($AE300-1)&amp;" more)","")))</f>
        <v/>
      </c>
      <c r="Q300" s="28">
        <f>IF(AND($A300&lt;&gt;"",OR($D300="Active",$D300="Paused")),1,0)</f>
        <v/>
      </c>
      <c r="R300" s="28">
        <f>IFERROR(INDEX($A$6:$A$305,MATCH(293,$S$6:$S$305,0)),"")</f>
        <v/>
      </c>
      <c r="S300" s="28">
        <f>IF(AND($A300&lt;&gt;"",$B300="Program"),COUNTIFS($B$6:$B300,"Program",$A$6:$A300,"&lt;&gt;"),"")</f>
        <v/>
      </c>
      <c r="T300" s="30">
        <f>IF(AND($A300&lt;&gt;"",$B300="Program"),SUMPRODUCT(MAX(($C$6:$C$305=$A300)*($B$6:$B$305="Project")*($D$6:$D$305&lt;&gt;"Proposed")*$I$6:$I$305)),0)</f>
        <v/>
      </c>
      <c r="U300" s="30">
        <f>IF($I300&lt;&gt;"",$I300,IF($T300&gt;0,$T300,""))</f>
        <v/>
      </c>
      <c r="V300" s="28">
        <f>IF(AND($A300&lt;&gt;"",$B300="Program"),SUMIFS($J$6:$J$305,$C$6:$C$305,$A300,$B$6:$B$305,"Project",$D$6:$D$305,"&lt;&gt;Proposed"),0)</f>
        <v/>
      </c>
      <c r="W300" s="28">
        <f>IF(AND($A300&lt;&gt;"",$B300="Program"),COUNTIFS($C$6:$C$305,$A300,$B$6:$B$305,"Project",$D$6:$D$305,"&lt;&gt;Proposed")-COUNTIFS($C$6:$C$305,$A300,$B$6:$B$305,"Project",$D$6:$D$305,"&lt;&gt;Proposed",$J$6:$J$305,"&gt;=0"),0)</f>
        <v/>
      </c>
      <c r="X300" s="28">
        <f>IF(OR($Q300=0,$H300="",$AF300="Sprint"),0,IF(AND($B300="Project",$H300&lt;TODAY()),3,IF($U300="",0,IF($U300&lt;=$H300,1,IF(NETWORKDAYS($H300,$U300)-1&gt;IF($B300="Program",Checks!$B$7,Checks!$B$6),3,2)))))</f>
        <v/>
      </c>
      <c r="Y300" s="28">
        <f>IF(OR($Q300=0,$K300="",$K300=0,$AF300="Sprint"),0,IF(AND($B300="Project",$J300=""),0,IF(IF($B300="Program",$V300,$J300)&gt;$K300*(1+Checks!$B$8),3,IF(IF($B300="Program",$V300,$J300)&gt;$K300,2,IF(AND($B300="Program",OR($W300&gt;0,$V300=0)),0,1)))))</f>
        <v/>
      </c>
      <c r="Z300" s="28">
        <f>IF($A300="",0,IF($C300="Portfolio",1,IF(AND($B300="Project",$C300&lt;&gt;"",$C300&lt;&gt;"Outside the portfolio"),IFERROR(IF(AND(INDEX($B$6:$B$305,MATCH($C300,$A$6:$A$305,0))="Program",INDEX($C$6:$C$305,MATCH($C300,$A$6:$A$305,0))="Portfolio"),1,0),0),0)))</f>
        <v/>
      </c>
      <c r="AA300" s="28">
        <f>IF(AND($A300&lt;&gt;"",$E300="",OR($Q300=1,$D300="Proposed")),1,0)</f>
        <v/>
      </c>
      <c r="AB300" s="28">
        <f>IF(AND($A300&lt;&gt;"",$B300="Program",$F300="",$Q300=1),1,0)</f>
        <v/>
      </c>
      <c r="AC300" s="28">
        <f>IF(OR($A300="",$D300="Completed",$D300="Terminated"),0,IF($C300="",1,IF($C300="Portfolio",0,IF($C300="Outside the portfolio",IF($Q300=1,2,0),IF($B300="Project",IF(IFERROR(INDEX($B$6:$B$305,MATCH($C300,$A$6:$A$305,0)),"")="Program",0,1),1)))))</f>
        <v/>
      </c>
      <c r="AD300" s="28">
        <f>IF(AND($A300&lt;&gt;"",OR($M300="■ Red",$M300="◧ Amber"),$L300=""),1,0)</f>
        <v/>
      </c>
      <c r="AE300" s="28">
        <f>$AA300+$AB300+IF($AC300&gt;0,1,0)+$AD300+$AG300+$AH300</f>
        <v/>
      </c>
      <c r="AF300" s="25" t="n"/>
      <c r="AG300" s="28">
        <f>IF(AND($A300&lt;&gt;"",$K300&lt;&gt;"",$C300&lt;&gt;"Portfolio",$D300&lt;&gt;"Completed",$D300&lt;&gt;"Terminated"),1,0)</f>
        <v/>
      </c>
      <c r="AH300" s="28">
        <f>IF(AND($A300&lt;&gt;"",COUNTIF($A$6:$A$305,$A300)&gt;1),1,0)</f>
        <v/>
      </c>
      <c r="AI300" s="28">
        <f>IF(AND($A300&lt;&gt;"",$C300="Portfolio"),COUNTIFS($C$6:$C300,"Portfolio",$A$6:$A300,"&lt;&gt;"),"")</f>
        <v/>
      </c>
    </row>
    <row r="301">
      <c r="A301" s="25" t="n"/>
      <c r="B301" s="25" t="n"/>
      <c r="C301" s="25" t="n"/>
      <c r="D301" s="25" t="n"/>
      <c r="E301" s="25" t="n"/>
      <c r="F301" s="25" t="n"/>
      <c r="G301" s="25" t="n"/>
      <c r="H301" s="26" t="n"/>
      <c r="I301" s="26" t="n"/>
      <c r="J301" s="27" t="n"/>
      <c r="K301" s="27" t="n"/>
      <c r="L301" s="23" t="n"/>
      <c r="M301" s="28">
        <f>IF($A301="","",IF($D301="","Not read",IF($Q301=0,"Not counted",IF(MAX($X301,$Y301)=3,"■ Red",IF(MAX($X301,$Y301)=2,"◧ Amber",IF(MAX($X301,$Y301)=1,"□ On track","Not read"))))))</f>
        <v/>
      </c>
      <c r="N301" s="28">
        <f>IF(OR($A301="",$B301&lt;&gt;"Program"),"","■ "&amp;COUNTIFS($C$6:$C$305,$A301,$M$6:$M$305,"■ Red")&amp;" Red, ◧ "&amp;COUNTIFS($C$6:$C$305,$A301,$M$6:$M$305,"◧ Amber")&amp;" Amber")</f>
        <v/>
      </c>
      <c r="O301" s="29">
        <f>IF(OR($A301="",$E301=""),"",COUNTIFS($E$6:$E$305,$E301,$D$6:$D$305,"Active")+COUNTIFS($E$6:$E$305,$E301,$D$6:$D$305,"Paused"))</f>
        <v/>
      </c>
      <c r="P301" s="28">
        <f>IF($A301="","",IF($AE301=0,"○ Clear",IF($AA301=1,"△ No owner",IF($AC301=1,"△ Check Sits under",IF($AC301=2,"△ Outside the portfolio",IF($AB301=1,"△ No sponsor",IF($AH301=1,"△ Name used twice",IF($AG301=1,"△ Budget only counts under Portfolio","△ No variance note"))))))&amp;IF($AE301&gt;1," (+"&amp;($AE301-1)&amp;" more)","")))</f>
        <v/>
      </c>
      <c r="Q301" s="28">
        <f>IF(AND($A301&lt;&gt;"",OR($D301="Active",$D301="Paused")),1,0)</f>
        <v/>
      </c>
      <c r="R301" s="28">
        <f>IFERROR(INDEX($A$6:$A$305,MATCH(294,$S$6:$S$305,0)),"")</f>
        <v/>
      </c>
      <c r="S301" s="28">
        <f>IF(AND($A301&lt;&gt;"",$B301="Program"),COUNTIFS($B$6:$B301,"Program",$A$6:$A301,"&lt;&gt;"),"")</f>
        <v/>
      </c>
      <c r="T301" s="30">
        <f>IF(AND($A301&lt;&gt;"",$B301="Program"),SUMPRODUCT(MAX(($C$6:$C$305=$A301)*($B$6:$B$305="Project")*($D$6:$D$305&lt;&gt;"Proposed")*$I$6:$I$305)),0)</f>
        <v/>
      </c>
      <c r="U301" s="30">
        <f>IF($I301&lt;&gt;"",$I301,IF($T301&gt;0,$T301,""))</f>
        <v/>
      </c>
      <c r="V301" s="28">
        <f>IF(AND($A301&lt;&gt;"",$B301="Program"),SUMIFS($J$6:$J$305,$C$6:$C$305,$A301,$B$6:$B$305,"Project",$D$6:$D$305,"&lt;&gt;Proposed"),0)</f>
        <v/>
      </c>
      <c r="W301" s="28">
        <f>IF(AND($A301&lt;&gt;"",$B301="Program"),COUNTIFS($C$6:$C$305,$A301,$B$6:$B$305,"Project",$D$6:$D$305,"&lt;&gt;Proposed")-COUNTIFS($C$6:$C$305,$A301,$B$6:$B$305,"Project",$D$6:$D$305,"&lt;&gt;Proposed",$J$6:$J$305,"&gt;=0"),0)</f>
        <v/>
      </c>
      <c r="X301" s="28">
        <f>IF(OR($Q301=0,$H301="",$AF301="Sprint"),0,IF(AND($B301="Project",$H301&lt;TODAY()),3,IF($U301="",0,IF($U301&lt;=$H301,1,IF(NETWORKDAYS($H301,$U301)-1&gt;IF($B301="Program",Checks!$B$7,Checks!$B$6),3,2)))))</f>
        <v/>
      </c>
      <c r="Y301" s="28">
        <f>IF(OR($Q301=0,$K301="",$K301=0,$AF301="Sprint"),0,IF(AND($B301="Project",$J301=""),0,IF(IF($B301="Program",$V301,$J301)&gt;$K301*(1+Checks!$B$8),3,IF(IF($B301="Program",$V301,$J301)&gt;$K301,2,IF(AND($B301="Program",OR($W301&gt;0,$V301=0)),0,1)))))</f>
        <v/>
      </c>
      <c r="Z301" s="28">
        <f>IF($A301="",0,IF($C301="Portfolio",1,IF(AND($B301="Project",$C301&lt;&gt;"",$C301&lt;&gt;"Outside the portfolio"),IFERROR(IF(AND(INDEX($B$6:$B$305,MATCH($C301,$A$6:$A$305,0))="Program",INDEX($C$6:$C$305,MATCH($C301,$A$6:$A$305,0))="Portfolio"),1,0),0),0)))</f>
        <v/>
      </c>
      <c r="AA301" s="28">
        <f>IF(AND($A301&lt;&gt;"",$E301="",OR($Q301=1,$D301="Proposed")),1,0)</f>
        <v/>
      </c>
      <c r="AB301" s="28">
        <f>IF(AND($A301&lt;&gt;"",$B301="Program",$F301="",$Q301=1),1,0)</f>
        <v/>
      </c>
      <c r="AC301" s="28">
        <f>IF(OR($A301="",$D301="Completed",$D301="Terminated"),0,IF($C301="",1,IF($C301="Portfolio",0,IF($C301="Outside the portfolio",IF($Q301=1,2,0),IF($B301="Project",IF(IFERROR(INDEX($B$6:$B$305,MATCH($C301,$A$6:$A$305,0)),"")="Program",0,1),1)))))</f>
        <v/>
      </c>
      <c r="AD301" s="28">
        <f>IF(AND($A301&lt;&gt;"",OR($M301="■ Red",$M301="◧ Amber"),$L301=""),1,0)</f>
        <v/>
      </c>
      <c r="AE301" s="28">
        <f>$AA301+$AB301+IF($AC301&gt;0,1,0)+$AD301+$AG301+$AH301</f>
        <v/>
      </c>
      <c r="AF301" s="25" t="n"/>
      <c r="AG301" s="28">
        <f>IF(AND($A301&lt;&gt;"",$K301&lt;&gt;"",$C301&lt;&gt;"Portfolio",$D301&lt;&gt;"Completed",$D301&lt;&gt;"Terminated"),1,0)</f>
        <v/>
      </c>
      <c r="AH301" s="28">
        <f>IF(AND($A301&lt;&gt;"",COUNTIF($A$6:$A$305,$A301)&gt;1),1,0)</f>
        <v/>
      </c>
      <c r="AI301" s="28">
        <f>IF(AND($A301&lt;&gt;"",$C301="Portfolio"),COUNTIFS($C$6:$C301,"Portfolio",$A$6:$A301,"&lt;&gt;"),"")</f>
        <v/>
      </c>
    </row>
    <row r="302">
      <c r="A302" s="25" t="n"/>
      <c r="B302" s="25" t="n"/>
      <c r="C302" s="25" t="n"/>
      <c r="D302" s="25" t="n"/>
      <c r="E302" s="25" t="n"/>
      <c r="F302" s="25" t="n"/>
      <c r="G302" s="25" t="n"/>
      <c r="H302" s="26" t="n"/>
      <c r="I302" s="26" t="n"/>
      <c r="J302" s="27" t="n"/>
      <c r="K302" s="27" t="n"/>
      <c r="L302" s="23" t="n"/>
      <c r="M302" s="28">
        <f>IF($A302="","",IF($D302="","Not read",IF($Q302=0,"Not counted",IF(MAX($X302,$Y302)=3,"■ Red",IF(MAX($X302,$Y302)=2,"◧ Amber",IF(MAX($X302,$Y302)=1,"□ On track","Not read"))))))</f>
        <v/>
      </c>
      <c r="N302" s="28">
        <f>IF(OR($A302="",$B302&lt;&gt;"Program"),"","■ "&amp;COUNTIFS($C$6:$C$305,$A302,$M$6:$M$305,"■ Red")&amp;" Red, ◧ "&amp;COUNTIFS($C$6:$C$305,$A302,$M$6:$M$305,"◧ Amber")&amp;" Amber")</f>
        <v/>
      </c>
      <c r="O302" s="29">
        <f>IF(OR($A302="",$E302=""),"",COUNTIFS($E$6:$E$305,$E302,$D$6:$D$305,"Active")+COUNTIFS($E$6:$E$305,$E302,$D$6:$D$305,"Paused"))</f>
        <v/>
      </c>
      <c r="P302" s="28">
        <f>IF($A302="","",IF($AE302=0,"○ Clear",IF($AA302=1,"△ No owner",IF($AC302=1,"△ Check Sits under",IF($AC302=2,"△ Outside the portfolio",IF($AB302=1,"△ No sponsor",IF($AH302=1,"△ Name used twice",IF($AG302=1,"△ Budget only counts under Portfolio","△ No variance note"))))))&amp;IF($AE302&gt;1," (+"&amp;($AE302-1)&amp;" more)","")))</f>
        <v/>
      </c>
      <c r="Q302" s="28">
        <f>IF(AND($A302&lt;&gt;"",OR($D302="Active",$D302="Paused")),1,0)</f>
        <v/>
      </c>
      <c r="R302" s="28">
        <f>IFERROR(INDEX($A$6:$A$305,MATCH(295,$S$6:$S$305,0)),"")</f>
        <v/>
      </c>
      <c r="S302" s="28">
        <f>IF(AND($A302&lt;&gt;"",$B302="Program"),COUNTIFS($B$6:$B302,"Program",$A$6:$A302,"&lt;&gt;"),"")</f>
        <v/>
      </c>
      <c r="T302" s="30">
        <f>IF(AND($A302&lt;&gt;"",$B302="Program"),SUMPRODUCT(MAX(($C$6:$C$305=$A302)*($B$6:$B$305="Project")*($D$6:$D$305&lt;&gt;"Proposed")*$I$6:$I$305)),0)</f>
        <v/>
      </c>
      <c r="U302" s="30">
        <f>IF($I302&lt;&gt;"",$I302,IF($T302&gt;0,$T302,""))</f>
        <v/>
      </c>
      <c r="V302" s="28">
        <f>IF(AND($A302&lt;&gt;"",$B302="Program"),SUMIFS($J$6:$J$305,$C$6:$C$305,$A302,$B$6:$B$305,"Project",$D$6:$D$305,"&lt;&gt;Proposed"),0)</f>
        <v/>
      </c>
      <c r="W302" s="28">
        <f>IF(AND($A302&lt;&gt;"",$B302="Program"),COUNTIFS($C$6:$C$305,$A302,$B$6:$B$305,"Project",$D$6:$D$305,"&lt;&gt;Proposed")-COUNTIFS($C$6:$C$305,$A302,$B$6:$B$305,"Project",$D$6:$D$305,"&lt;&gt;Proposed",$J$6:$J$305,"&gt;=0"),0)</f>
        <v/>
      </c>
      <c r="X302" s="28">
        <f>IF(OR($Q302=0,$H302="",$AF302="Sprint"),0,IF(AND($B302="Project",$H302&lt;TODAY()),3,IF($U302="",0,IF($U302&lt;=$H302,1,IF(NETWORKDAYS($H302,$U302)-1&gt;IF($B302="Program",Checks!$B$7,Checks!$B$6),3,2)))))</f>
        <v/>
      </c>
      <c r="Y302" s="28">
        <f>IF(OR($Q302=0,$K302="",$K302=0,$AF302="Sprint"),0,IF(AND($B302="Project",$J302=""),0,IF(IF($B302="Program",$V302,$J302)&gt;$K302*(1+Checks!$B$8),3,IF(IF($B302="Program",$V302,$J302)&gt;$K302,2,IF(AND($B302="Program",OR($W302&gt;0,$V302=0)),0,1)))))</f>
        <v/>
      </c>
      <c r="Z302" s="28">
        <f>IF($A302="",0,IF($C302="Portfolio",1,IF(AND($B302="Project",$C302&lt;&gt;"",$C302&lt;&gt;"Outside the portfolio"),IFERROR(IF(AND(INDEX($B$6:$B$305,MATCH($C302,$A$6:$A$305,0))="Program",INDEX($C$6:$C$305,MATCH($C302,$A$6:$A$305,0))="Portfolio"),1,0),0),0)))</f>
        <v/>
      </c>
      <c r="AA302" s="28">
        <f>IF(AND($A302&lt;&gt;"",$E302="",OR($Q302=1,$D302="Proposed")),1,0)</f>
        <v/>
      </c>
      <c r="AB302" s="28">
        <f>IF(AND($A302&lt;&gt;"",$B302="Program",$F302="",$Q302=1),1,0)</f>
        <v/>
      </c>
      <c r="AC302" s="28">
        <f>IF(OR($A302="",$D302="Completed",$D302="Terminated"),0,IF($C302="",1,IF($C302="Portfolio",0,IF($C302="Outside the portfolio",IF($Q302=1,2,0),IF($B302="Project",IF(IFERROR(INDEX($B$6:$B$305,MATCH($C302,$A$6:$A$305,0)),"")="Program",0,1),1)))))</f>
        <v/>
      </c>
      <c r="AD302" s="28">
        <f>IF(AND($A302&lt;&gt;"",OR($M302="■ Red",$M302="◧ Amber"),$L302=""),1,0)</f>
        <v/>
      </c>
      <c r="AE302" s="28">
        <f>$AA302+$AB302+IF($AC302&gt;0,1,0)+$AD302+$AG302+$AH302</f>
        <v/>
      </c>
      <c r="AF302" s="25" t="n"/>
      <c r="AG302" s="28">
        <f>IF(AND($A302&lt;&gt;"",$K302&lt;&gt;"",$C302&lt;&gt;"Portfolio",$D302&lt;&gt;"Completed",$D302&lt;&gt;"Terminated"),1,0)</f>
        <v/>
      </c>
      <c r="AH302" s="28">
        <f>IF(AND($A302&lt;&gt;"",COUNTIF($A$6:$A$305,$A302)&gt;1),1,0)</f>
        <v/>
      </c>
      <c r="AI302" s="28">
        <f>IF(AND($A302&lt;&gt;"",$C302="Portfolio"),COUNTIFS($C$6:$C302,"Portfolio",$A$6:$A302,"&lt;&gt;"),"")</f>
        <v/>
      </c>
    </row>
    <row r="303">
      <c r="A303" s="25" t="n"/>
      <c r="B303" s="25" t="n"/>
      <c r="C303" s="25" t="n"/>
      <c r="D303" s="25" t="n"/>
      <c r="E303" s="25" t="n"/>
      <c r="F303" s="25" t="n"/>
      <c r="G303" s="25" t="n"/>
      <c r="H303" s="26" t="n"/>
      <c r="I303" s="26" t="n"/>
      <c r="J303" s="27" t="n"/>
      <c r="K303" s="27" t="n"/>
      <c r="L303" s="23" t="n"/>
      <c r="M303" s="28">
        <f>IF($A303="","",IF($D303="","Not read",IF($Q303=0,"Not counted",IF(MAX($X303,$Y303)=3,"■ Red",IF(MAX($X303,$Y303)=2,"◧ Amber",IF(MAX($X303,$Y303)=1,"□ On track","Not read"))))))</f>
        <v/>
      </c>
      <c r="N303" s="28">
        <f>IF(OR($A303="",$B303&lt;&gt;"Program"),"","■ "&amp;COUNTIFS($C$6:$C$305,$A303,$M$6:$M$305,"■ Red")&amp;" Red, ◧ "&amp;COUNTIFS($C$6:$C$305,$A303,$M$6:$M$305,"◧ Amber")&amp;" Amber")</f>
        <v/>
      </c>
      <c r="O303" s="29">
        <f>IF(OR($A303="",$E303=""),"",COUNTIFS($E$6:$E$305,$E303,$D$6:$D$305,"Active")+COUNTIFS($E$6:$E$305,$E303,$D$6:$D$305,"Paused"))</f>
        <v/>
      </c>
      <c r="P303" s="28">
        <f>IF($A303="","",IF($AE303=0,"○ Clear",IF($AA303=1,"△ No owner",IF($AC303=1,"△ Check Sits under",IF($AC303=2,"△ Outside the portfolio",IF($AB303=1,"△ No sponsor",IF($AH303=1,"△ Name used twice",IF($AG303=1,"△ Budget only counts under Portfolio","△ No variance note"))))))&amp;IF($AE303&gt;1," (+"&amp;($AE303-1)&amp;" more)","")))</f>
        <v/>
      </c>
      <c r="Q303" s="28">
        <f>IF(AND($A303&lt;&gt;"",OR($D303="Active",$D303="Paused")),1,0)</f>
        <v/>
      </c>
      <c r="R303" s="28">
        <f>IFERROR(INDEX($A$6:$A$305,MATCH(296,$S$6:$S$305,0)),"")</f>
        <v/>
      </c>
      <c r="S303" s="28">
        <f>IF(AND($A303&lt;&gt;"",$B303="Program"),COUNTIFS($B$6:$B303,"Program",$A$6:$A303,"&lt;&gt;"),"")</f>
        <v/>
      </c>
      <c r="T303" s="30">
        <f>IF(AND($A303&lt;&gt;"",$B303="Program"),SUMPRODUCT(MAX(($C$6:$C$305=$A303)*($B$6:$B$305="Project")*($D$6:$D$305&lt;&gt;"Proposed")*$I$6:$I$305)),0)</f>
        <v/>
      </c>
      <c r="U303" s="30">
        <f>IF($I303&lt;&gt;"",$I303,IF($T303&gt;0,$T303,""))</f>
        <v/>
      </c>
      <c r="V303" s="28">
        <f>IF(AND($A303&lt;&gt;"",$B303="Program"),SUMIFS($J$6:$J$305,$C$6:$C$305,$A303,$B$6:$B$305,"Project",$D$6:$D$305,"&lt;&gt;Proposed"),0)</f>
        <v/>
      </c>
      <c r="W303" s="28">
        <f>IF(AND($A303&lt;&gt;"",$B303="Program"),COUNTIFS($C$6:$C$305,$A303,$B$6:$B$305,"Project",$D$6:$D$305,"&lt;&gt;Proposed")-COUNTIFS($C$6:$C$305,$A303,$B$6:$B$305,"Project",$D$6:$D$305,"&lt;&gt;Proposed",$J$6:$J$305,"&gt;=0"),0)</f>
        <v/>
      </c>
      <c r="X303" s="28">
        <f>IF(OR($Q303=0,$H303="",$AF303="Sprint"),0,IF(AND($B303="Project",$H303&lt;TODAY()),3,IF($U303="",0,IF($U303&lt;=$H303,1,IF(NETWORKDAYS($H303,$U303)-1&gt;IF($B303="Program",Checks!$B$7,Checks!$B$6),3,2)))))</f>
        <v/>
      </c>
      <c r="Y303" s="28">
        <f>IF(OR($Q303=0,$K303="",$K303=0,$AF303="Sprint"),0,IF(AND($B303="Project",$J303=""),0,IF(IF($B303="Program",$V303,$J303)&gt;$K303*(1+Checks!$B$8),3,IF(IF($B303="Program",$V303,$J303)&gt;$K303,2,IF(AND($B303="Program",OR($W303&gt;0,$V303=0)),0,1)))))</f>
        <v/>
      </c>
      <c r="Z303" s="28">
        <f>IF($A303="",0,IF($C303="Portfolio",1,IF(AND($B303="Project",$C303&lt;&gt;"",$C303&lt;&gt;"Outside the portfolio"),IFERROR(IF(AND(INDEX($B$6:$B$305,MATCH($C303,$A$6:$A$305,0))="Program",INDEX($C$6:$C$305,MATCH($C303,$A$6:$A$305,0))="Portfolio"),1,0),0),0)))</f>
        <v/>
      </c>
      <c r="AA303" s="28">
        <f>IF(AND($A303&lt;&gt;"",$E303="",OR($Q303=1,$D303="Proposed")),1,0)</f>
        <v/>
      </c>
      <c r="AB303" s="28">
        <f>IF(AND($A303&lt;&gt;"",$B303="Program",$F303="",$Q303=1),1,0)</f>
        <v/>
      </c>
      <c r="AC303" s="28">
        <f>IF(OR($A303="",$D303="Completed",$D303="Terminated"),0,IF($C303="",1,IF($C303="Portfolio",0,IF($C303="Outside the portfolio",IF($Q303=1,2,0),IF($B303="Project",IF(IFERROR(INDEX($B$6:$B$305,MATCH($C303,$A$6:$A$305,0)),"")="Program",0,1),1)))))</f>
        <v/>
      </c>
      <c r="AD303" s="28">
        <f>IF(AND($A303&lt;&gt;"",OR($M303="■ Red",$M303="◧ Amber"),$L303=""),1,0)</f>
        <v/>
      </c>
      <c r="AE303" s="28">
        <f>$AA303+$AB303+IF($AC303&gt;0,1,0)+$AD303+$AG303+$AH303</f>
        <v/>
      </c>
      <c r="AF303" s="25" t="n"/>
      <c r="AG303" s="28">
        <f>IF(AND($A303&lt;&gt;"",$K303&lt;&gt;"",$C303&lt;&gt;"Portfolio",$D303&lt;&gt;"Completed",$D303&lt;&gt;"Terminated"),1,0)</f>
        <v/>
      </c>
      <c r="AH303" s="28">
        <f>IF(AND($A303&lt;&gt;"",COUNTIF($A$6:$A$305,$A303)&gt;1),1,0)</f>
        <v/>
      </c>
      <c r="AI303" s="28">
        <f>IF(AND($A303&lt;&gt;"",$C303="Portfolio"),COUNTIFS($C$6:$C303,"Portfolio",$A$6:$A303,"&lt;&gt;"),"")</f>
        <v/>
      </c>
    </row>
    <row r="304">
      <c r="A304" s="25" t="n"/>
      <c r="B304" s="25" t="n"/>
      <c r="C304" s="25" t="n"/>
      <c r="D304" s="25" t="n"/>
      <c r="E304" s="25" t="n"/>
      <c r="F304" s="25" t="n"/>
      <c r="G304" s="25" t="n"/>
      <c r="H304" s="26" t="n"/>
      <c r="I304" s="26" t="n"/>
      <c r="J304" s="27" t="n"/>
      <c r="K304" s="27" t="n"/>
      <c r="L304" s="23" t="n"/>
      <c r="M304" s="28">
        <f>IF($A304="","",IF($D304="","Not read",IF($Q304=0,"Not counted",IF(MAX($X304,$Y304)=3,"■ Red",IF(MAX($X304,$Y304)=2,"◧ Amber",IF(MAX($X304,$Y304)=1,"□ On track","Not read"))))))</f>
        <v/>
      </c>
      <c r="N304" s="28">
        <f>IF(OR($A304="",$B304&lt;&gt;"Program"),"","■ "&amp;COUNTIFS($C$6:$C$305,$A304,$M$6:$M$305,"■ Red")&amp;" Red, ◧ "&amp;COUNTIFS($C$6:$C$305,$A304,$M$6:$M$305,"◧ Amber")&amp;" Amber")</f>
        <v/>
      </c>
      <c r="O304" s="29">
        <f>IF(OR($A304="",$E304=""),"",COUNTIFS($E$6:$E$305,$E304,$D$6:$D$305,"Active")+COUNTIFS($E$6:$E$305,$E304,$D$6:$D$305,"Paused"))</f>
        <v/>
      </c>
      <c r="P304" s="28">
        <f>IF($A304="","",IF($AE304=0,"○ Clear",IF($AA304=1,"△ No owner",IF($AC304=1,"△ Check Sits under",IF($AC304=2,"△ Outside the portfolio",IF($AB304=1,"△ No sponsor",IF($AH304=1,"△ Name used twice",IF($AG304=1,"△ Budget only counts under Portfolio","△ No variance note"))))))&amp;IF($AE304&gt;1," (+"&amp;($AE304-1)&amp;" more)","")))</f>
        <v/>
      </c>
      <c r="Q304" s="28">
        <f>IF(AND($A304&lt;&gt;"",OR($D304="Active",$D304="Paused")),1,0)</f>
        <v/>
      </c>
      <c r="R304" s="28">
        <f>IFERROR(INDEX($A$6:$A$305,MATCH(297,$S$6:$S$305,0)),"")</f>
        <v/>
      </c>
      <c r="S304" s="28">
        <f>IF(AND($A304&lt;&gt;"",$B304="Program"),COUNTIFS($B$6:$B304,"Program",$A$6:$A304,"&lt;&gt;"),"")</f>
        <v/>
      </c>
      <c r="T304" s="30">
        <f>IF(AND($A304&lt;&gt;"",$B304="Program"),SUMPRODUCT(MAX(($C$6:$C$305=$A304)*($B$6:$B$305="Project")*($D$6:$D$305&lt;&gt;"Proposed")*$I$6:$I$305)),0)</f>
        <v/>
      </c>
      <c r="U304" s="30">
        <f>IF($I304&lt;&gt;"",$I304,IF($T304&gt;0,$T304,""))</f>
        <v/>
      </c>
      <c r="V304" s="28">
        <f>IF(AND($A304&lt;&gt;"",$B304="Program"),SUMIFS($J$6:$J$305,$C$6:$C$305,$A304,$B$6:$B$305,"Project",$D$6:$D$305,"&lt;&gt;Proposed"),0)</f>
        <v/>
      </c>
      <c r="W304" s="28">
        <f>IF(AND($A304&lt;&gt;"",$B304="Program"),COUNTIFS($C$6:$C$305,$A304,$B$6:$B$305,"Project",$D$6:$D$305,"&lt;&gt;Proposed")-COUNTIFS($C$6:$C$305,$A304,$B$6:$B$305,"Project",$D$6:$D$305,"&lt;&gt;Proposed",$J$6:$J$305,"&gt;=0"),0)</f>
        <v/>
      </c>
      <c r="X304" s="28">
        <f>IF(OR($Q304=0,$H304="",$AF304="Sprint"),0,IF(AND($B304="Project",$H304&lt;TODAY()),3,IF($U304="",0,IF($U304&lt;=$H304,1,IF(NETWORKDAYS($H304,$U304)-1&gt;IF($B304="Program",Checks!$B$7,Checks!$B$6),3,2)))))</f>
        <v/>
      </c>
      <c r="Y304" s="28">
        <f>IF(OR($Q304=0,$K304="",$K304=0,$AF304="Sprint"),0,IF(AND($B304="Project",$J304=""),0,IF(IF($B304="Program",$V304,$J304)&gt;$K304*(1+Checks!$B$8),3,IF(IF($B304="Program",$V304,$J304)&gt;$K304,2,IF(AND($B304="Program",OR($W304&gt;0,$V304=0)),0,1)))))</f>
        <v/>
      </c>
      <c r="Z304" s="28">
        <f>IF($A304="",0,IF($C304="Portfolio",1,IF(AND($B304="Project",$C304&lt;&gt;"",$C304&lt;&gt;"Outside the portfolio"),IFERROR(IF(AND(INDEX($B$6:$B$305,MATCH($C304,$A$6:$A$305,0))="Program",INDEX($C$6:$C$305,MATCH($C304,$A$6:$A$305,0))="Portfolio"),1,0),0),0)))</f>
        <v/>
      </c>
      <c r="AA304" s="28">
        <f>IF(AND($A304&lt;&gt;"",$E304="",OR($Q304=1,$D304="Proposed")),1,0)</f>
        <v/>
      </c>
      <c r="AB304" s="28">
        <f>IF(AND($A304&lt;&gt;"",$B304="Program",$F304="",$Q304=1),1,0)</f>
        <v/>
      </c>
      <c r="AC304" s="28">
        <f>IF(OR($A304="",$D304="Completed",$D304="Terminated"),0,IF($C304="",1,IF($C304="Portfolio",0,IF($C304="Outside the portfolio",IF($Q304=1,2,0),IF($B304="Project",IF(IFERROR(INDEX($B$6:$B$305,MATCH($C304,$A$6:$A$305,0)),"")="Program",0,1),1)))))</f>
        <v/>
      </c>
      <c r="AD304" s="28">
        <f>IF(AND($A304&lt;&gt;"",OR($M304="■ Red",$M304="◧ Amber"),$L304=""),1,0)</f>
        <v/>
      </c>
      <c r="AE304" s="28">
        <f>$AA304+$AB304+IF($AC304&gt;0,1,0)+$AD304+$AG304+$AH304</f>
        <v/>
      </c>
      <c r="AF304" s="25" t="n"/>
      <c r="AG304" s="28">
        <f>IF(AND($A304&lt;&gt;"",$K304&lt;&gt;"",$C304&lt;&gt;"Portfolio",$D304&lt;&gt;"Completed",$D304&lt;&gt;"Terminated"),1,0)</f>
        <v/>
      </c>
      <c r="AH304" s="28">
        <f>IF(AND($A304&lt;&gt;"",COUNTIF($A$6:$A$305,$A304)&gt;1),1,0)</f>
        <v/>
      </c>
      <c r="AI304" s="28">
        <f>IF(AND($A304&lt;&gt;"",$C304="Portfolio"),COUNTIFS($C$6:$C304,"Portfolio",$A$6:$A304,"&lt;&gt;"),"")</f>
        <v/>
      </c>
    </row>
    <row r="305">
      <c r="A305" s="25" t="n"/>
      <c r="B305" s="25" t="n"/>
      <c r="C305" s="25" t="n"/>
      <c r="D305" s="25" t="n"/>
      <c r="E305" s="25" t="n"/>
      <c r="F305" s="25" t="n"/>
      <c r="G305" s="25" t="n"/>
      <c r="H305" s="26" t="n"/>
      <c r="I305" s="26" t="n"/>
      <c r="J305" s="27" t="n"/>
      <c r="K305" s="27" t="n"/>
      <c r="L305" s="23" t="n"/>
      <c r="M305" s="28">
        <f>IF($A305="","",IF($D305="","Not read",IF($Q305=0,"Not counted",IF(MAX($X305,$Y305)=3,"■ Red",IF(MAX($X305,$Y305)=2,"◧ Amber",IF(MAX($X305,$Y305)=1,"□ On track","Not read"))))))</f>
        <v/>
      </c>
      <c r="N305" s="28">
        <f>IF(OR($A305="",$B305&lt;&gt;"Program"),"","■ "&amp;COUNTIFS($C$6:$C$305,$A305,$M$6:$M$305,"■ Red")&amp;" Red, ◧ "&amp;COUNTIFS($C$6:$C$305,$A305,$M$6:$M$305,"◧ Amber")&amp;" Amber")</f>
        <v/>
      </c>
      <c r="O305" s="29">
        <f>IF(OR($A305="",$E305=""),"",COUNTIFS($E$6:$E$305,$E305,$D$6:$D$305,"Active")+COUNTIFS($E$6:$E$305,$E305,$D$6:$D$305,"Paused"))</f>
        <v/>
      </c>
      <c r="P305" s="28">
        <f>IF($A305="","",IF($AE305=0,"○ Clear",IF($AA305=1,"△ No owner",IF($AC305=1,"△ Check Sits under",IF($AC305=2,"△ Outside the portfolio",IF($AB305=1,"△ No sponsor",IF($AH305=1,"△ Name used twice",IF($AG305=1,"△ Budget only counts under Portfolio","△ No variance note"))))))&amp;IF($AE305&gt;1," (+"&amp;($AE305-1)&amp;" more)","")))</f>
        <v/>
      </c>
      <c r="Q305" s="28">
        <f>IF(AND($A305&lt;&gt;"",OR($D305="Active",$D305="Paused")),1,0)</f>
        <v/>
      </c>
      <c r="R305" s="28">
        <f>IFERROR(INDEX($A$6:$A$305,MATCH(298,$S$6:$S$305,0)),"")</f>
        <v/>
      </c>
      <c r="S305" s="28">
        <f>IF(AND($A305&lt;&gt;"",$B305="Program"),COUNTIFS($B$6:$B305,"Program",$A$6:$A305,"&lt;&gt;"),"")</f>
        <v/>
      </c>
      <c r="T305" s="30">
        <f>IF(AND($A305&lt;&gt;"",$B305="Program"),SUMPRODUCT(MAX(($C$6:$C$305=$A305)*($B$6:$B$305="Project")*($D$6:$D$305&lt;&gt;"Proposed")*$I$6:$I$305)),0)</f>
        <v/>
      </c>
      <c r="U305" s="30">
        <f>IF($I305&lt;&gt;"",$I305,IF($T305&gt;0,$T305,""))</f>
        <v/>
      </c>
      <c r="V305" s="28">
        <f>IF(AND($A305&lt;&gt;"",$B305="Program"),SUMIFS($J$6:$J$305,$C$6:$C$305,$A305,$B$6:$B$305,"Project",$D$6:$D$305,"&lt;&gt;Proposed"),0)</f>
        <v/>
      </c>
      <c r="W305" s="28">
        <f>IF(AND($A305&lt;&gt;"",$B305="Program"),COUNTIFS($C$6:$C$305,$A305,$B$6:$B$305,"Project",$D$6:$D$305,"&lt;&gt;Proposed")-COUNTIFS($C$6:$C$305,$A305,$B$6:$B$305,"Project",$D$6:$D$305,"&lt;&gt;Proposed",$J$6:$J$305,"&gt;=0"),0)</f>
        <v/>
      </c>
      <c r="X305" s="28">
        <f>IF(OR($Q305=0,$H305="",$AF305="Sprint"),0,IF(AND($B305="Project",$H305&lt;TODAY()),3,IF($U305="",0,IF($U305&lt;=$H305,1,IF(NETWORKDAYS($H305,$U305)-1&gt;IF($B305="Program",Checks!$B$7,Checks!$B$6),3,2)))))</f>
        <v/>
      </c>
      <c r="Y305" s="28">
        <f>IF(OR($Q305=0,$K305="",$K305=0,$AF305="Sprint"),0,IF(AND($B305="Project",$J305=""),0,IF(IF($B305="Program",$V305,$J305)&gt;$K305*(1+Checks!$B$8),3,IF(IF($B305="Program",$V305,$J305)&gt;$K305,2,IF(AND($B305="Program",OR($W305&gt;0,$V305=0)),0,1)))))</f>
        <v/>
      </c>
      <c r="Z305" s="28">
        <f>IF($A305="",0,IF($C305="Portfolio",1,IF(AND($B305="Project",$C305&lt;&gt;"",$C305&lt;&gt;"Outside the portfolio"),IFERROR(IF(AND(INDEX($B$6:$B$305,MATCH($C305,$A$6:$A$305,0))="Program",INDEX($C$6:$C$305,MATCH($C305,$A$6:$A$305,0))="Portfolio"),1,0),0),0)))</f>
        <v/>
      </c>
      <c r="AA305" s="28">
        <f>IF(AND($A305&lt;&gt;"",$E305="",OR($Q305=1,$D305="Proposed")),1,0)</f>
        <v/>
      </c>
      <c r="AB305" s="28">
        <f>IF(AND($A305&lt;&gt;"",$B305="Program",$F305="",$Q305=1),1,0)</f>
        <v/>
      </c>
      <c r="AC305" s="28">
        <f>IF(OR($A305="",$D305="Completed",$D305="Terminated"),0,IF($C305="",1,IF($C305="Portfolio",0,IF($C305="Outside the portfolio",IF($Q305=1,2,0),IF($B305="Project",IF(IFERROR(INDEX($B$6:$B$305,MATCH($C305,$A$6:$A$305,0)),"")="Program",0,1),1)))))</f>
        <v/>
      </c>
      <c r="AD305" s="28">
        <f>IF(AND($A305&lt;&gt;"",OR($M305="■ Red",$M305="◧ Amber"),$L305=""),1,0)</f>
        <v/>
      </c>
      <c r="AE305" s="28">
        <f>$AA305+$AB305+IF($AC305&gt;0,1,0)+$AD305+$AG305+$AH305</f>
        <v/>
      </c>
      <c r="AF305" s="25" t="n"/>
      <c r="AG305" s="28">
        <f>IF(AND($A305&lt;&gt;"",$K305&lt;&gt;"",$C305&lt;&gt;"Portfolio",$D305&lt;&gt;"Completed",$D305&lt;&gt;"Terminated"),1,0)</f>
        <v/>
      </c>
      <c r="AH305" s="28">
        <f>IF(AND($A305&lt;&gt;"",COUNTIF($A$6:$A$305,$A305)&gt;1),1,0)</f>
        <v/>
      </c>
      <c r="AI305" s="28">
        <f>IF(AND($A305&lt;&gt;"",$C305="Portfolio"),COUNTIFS($C$6:$C305,"Portfolio",$A$6:$A305,"&lt;&gt;"),"")</f>
        <v/>
      </c>
    </row>
    <row r="306">
      <c r="R306" s="28">
        <f>IFERROR(INDEX($A$6:$A$305,MATCH(299,$S$6:$S$305,0)),"")</f>
        <v/>
      </c>
    </row>
    <row r="307">
      <c r="R307" s="28">
        <f>IFERROR(INDEX($A$6:$A$305,MATCH(300,$S$6:$S$305,0)),"")</f>
        <v/>
      </c>
    </row>
  </sheetData>
  <autoFilter ref="A5:AF305"/>
  <conditionalFormatting sqref="M6:M305">
    <cfRule type="expression" priority="1" dxfId="2" stopIfTrue="0">
      <formula>LEFT($M6,1)="■"</formula>
    </cfRule>
  </conditionalFormatting>
  <conditionalFormatting sqref="P6:P305">
    <cfRule type="expression" priority="2" dxfId="1" stopIfTrue="0">
      <formula>LEFT($P6,1)="△"</formula>
    </cfRule>
  </conditionalFormatting>
  <conditionalFormatting sqref="A6:A305">
    <cfRule type="expression" priority="3" dxfId="0" stopIfTrue="0">
      <formula>AND($A6="",COUNTA($B6:$L6)&gt;0)</formula>
    </cfRule>
  </conditionalFormatting>
  <conditionalFormatting sqref="E6:E305">
    <cfRule type="expression" priority="4" dxfId="0" stopIfTrue="0">
      <formula>AND($A6&lt;&gt;"",$E6="",OR($D6="Active",$D6="Paused",$D6="Proposed"))</formula>
    </cfRule>
  </conditionalFormatting>
  <conditionalFormatting sqref="F6:F305">
    <cfRule type="expression" priority="5" dxfId="3" stopIfTrue="0">
      <formula>$B6="Project"</formula>
    </cfRule>
    <cfRule type="expression" priority="6" dxfId="0" stopIfTrue="0">
      <formula>AND($B6="Program",$F6="",$D6&lt;&gt;"Completed",$D6&lt;&gt;"Terminated")</formula>
    </cfRule>
  </conditionalFormatting>
  <conditionalFormatting sqref="K6:K305">
    <cfRule type="expression" priority="7" dxfId="3" stopIfTrue="0">
      <formula>AND($B6="Project",$C6&lt;&gt;"",$C6&lt;&gt;"Portfolio",$C6&lt;&gt;"Outside the portfolio")</formula>
    </cfRule>
  </conditionalFormatting>
  <conditionalFormatting sqref="J6:J305">
    <cfRule type="expression" priority="8" dxfId="3" stopIfTrue="0">
      <formula>$B6="Program"</formula>
    </cfRule>
  </conditionalFormatting>
  <conditionalFormatting sqref="AF6:AF305">
    <cfRule type="expression" priority="9" dxfId="0" stopIfTrue="0">
      <formula>AND($B6="Project",$AF6="",$A6&lt;&gt;"")</formula>
    </cfRule>
  </conditionalFormatting>
  <dataValidations count="13">
    <dataValidation sqref="A6:A305" showDropDown="0" showInputMessage="1" showErrorMessage="1" allowBlank="1" errorTitle="Check this entry" error="Another row already has this name. Use a different one: other rows find a row by its name." promptTitle="Name" prompt="The program's or project's name. Other rows find it by this name, so keep it unique. If you rename a program, change its projects' Sits under too." type="custom" errorStyle="warning">
      <formula1>COUNTIF($A$6:$A$305,A6)=1</formula1>
    </dataValidation>
    <dataValidation sqref="B6:B305" showDropDown="0" showInputMessage="1" showErrorMessage="1" allowBlank="1" errorTitle="Check this entry" error="Pick Program or Project." promptTitle="Level" prompt="Program or Project." type="list" errorStyle="stop">
      <formula1>"Program,Project"</formula1>
    </dataValidation>
    <dataValidation sqref="C6:C305" showDropDown="0" showInputMessage="1" showErrorMessage="1" allowBlank="1" errorTitle="Check this entry" error="That isn't Portfolio, Outside the portfolio or a program on this sheet. You can keep it, and the Check column will flag it." promptTitle="Sits under" prompt="Pick Portfolio, Outside the portfolio or, for a project, the program it belongs to. One only." type="list" errorStyle="warning">
      <formula1>$R$6:$R$307</formula1>
    </dataValidation>
    <dataValidation sqref="D6:D305" showDropDown="0" showInputMessage="1" showErrorMessage="1" allowBlank="1" errorTitle="Check this entry" error="Pick a status from the list." promptTitle="Status" prompt="Where the row is in its life. Proposed rows aren't counted. When a row is Completed or Terminated, change its Forecast spend and Budget to what was spent." type="list" errorStyle="stop">
      <formula1>"Proposed,Active,Paused,Completed,Terminated"</formula1>
    </dataValidation>
    <dataValidation sqref="E6:E305" showDropDown="0" showInputMessage="1" showErrorMessage="0" allowBlank="1" promptTitle="Owner" prompt="The one person accountable for this row; on a program, its manager. Type each name the same way on every row, so the counts match." errorStyle="stop"/>
    <dataValidation sqref="F6:F305" showDropDown="0" showInputMessage="1" showErrorMessage="0" allowBlank="1" promptTitle="Sponsor" prompt="Required on a program: the person who decides its future. Optional on a project, which has its program's sponsor." errorStyle="stop"/>
    <dataValidation sqref="G6:G305" showDropDown="0" showInputMessage="1" showErrorMessage="1" allowBlank="1" errorTitle="Check this entry" error="That isn't one of the objectives on Portfolio. Add it there first, or pick one from the list." promptTitle="Objective" prompt="The portfolio objective this row serves, from the list on Portfolio. One only." type="list" errorStyle="warning">
      <formula1>Portfolio!$A$28:$A$37</formula1>
    </dataValidation>
    <dataValidation sqref="H6:H305" showDropDown="0" showInputMessage="1" showErrorMessage="1" allowBlank="1" errorTitle="Check this entry" error="Type a date, such as 30 Jun 2027." promptTitle="Planned finish" prompt="The date first agreed: a program's outcome date, or a project's go-live." type="date" errorStyle="stop" operator="greaterThan">
      <formula1>36526</formula1>
    </dataValidation>
    <dataValidation sqref="I6:I305" showDropDown="0" showInputMessage="1" showErrorMessage="1" allowBlank="1" errorTitle="Check this entry" error="Type a date, such as 30 Jun 2027." promptTitle="Latest forecast" prompt="Where the date stands now. If it hasn't moved, type the Planned finish again. On a program, leave it blank to use the latest forecast among its projects." type="date" errorStyle="stop" operator="greaterThan">
      <formula1>36526</formula1>
    </dataValidation>
    <dataValidation sqref="J6:J305" showDropDown="0" showInputMessage="1" showErrorMessage="1" allowBlank="1" errorTitle="Check this entry" error="Type an amount of 0 or more, with no currency sign." promptTitle="Forecast spend" prompt="What the project is now expected to cost. Leave it blank on a program; its projects' figures are added up for it." type="decimal" errorStyle="stop" operator="greaterThanOrEqual">
      <formula1>0</formula1>
    </dataValidation>
    <dataValidation sqref="K6:K305" showDropDown="0" showInputMessage="1" showErrorMessage="1" allowBlank="1" errorTitle="Check this entry" error="Type an amount of 0 or more, with no currency sign." promptTitle="Budget" prompt="The share of the portfolio's envelope this row may spend. Leave it blank on a project inside a program; the program holds the budget." type="decimal" errorStyle="stop" operator="greaterThanOrEqual">
      <formula1>0</formula1>
    </dataValidation>
    <dataValidation sqref="L6:L305" showDropDown="0" showInputMessage="1" showErrorMessage="0" allowBlank="1" promptTitle="Variance note" prompt="One line on why an Amber or Red row is off. End it with your name." errorStyle="stop"/>
    <dataValidation sqref="AF6:AF305" showDropDown="0" showInputMessage="1" showErrorMessage="1" allowBlank="1" errorTitle="Check this entry" error="Pick Waterfall or Sprint." promptTitle="Approach" prompt="How the project is run. Required on a project; leave it blank on a program. Health isn't worked out for a Sprint project, so it reads Not read." type="list" errorStyle="stop">
      <formula1>"Waterfall,Sprint"</formula1>
    </dataValidation>
  </dataValidations>
  <pageMargins left="0.75" right="0.75" top="1" bottom="1" header="0.5" footer="0.5"/>
  <pageSetup orientation="landscape" fitToHeight="0" fitToWidth="1"/>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F117"/>
  <sheetViews>
    <sheetView showGridLines="0" workbookViewId="0">
      <selection activeCell="A1" sqref="A1"/>
    </sheetView>
  </sheetViews>
  <sheetFormatPr baseColWidth="8" defaultRowHeight="15"/>
  <cols>
    <col width="34" customWidth="1" min="1" max="1"/>
    <col width="18" customWidth="1" min="2" max="2"/>
    <col width="14" customWidth="1" min="3" max="3"/>
    <col width="14" customWidth="1" min="4" max="4"/>
    <col width="18" customWidth="1" min="5" max="5"/>
    <col width="18" customWidth="1" min="6" max="6"/>
  </cols>
  <sheetData>
    <row r="1" ht="36" customHeight="1">
      <c r="B1" s="1" t="inlineStr">
        <is>
          <t>Funding (Example)</t>
        </is>
      </c>
    </row>
    <row r="2" ht="16" customHeight="1">
      <c r="A2" s="2">
        <f>IF(Portfolio!$B$6="","","Portfolio: "&amp;Portfolio!$B$6)</f>
        <v/>
      </c>
    </row>
    <row r="3" ht="18" customHeight="1">
      <c r="A3" s="4" t="inlineStr">
        <is>
          <t>Example. Wexbridge Quill Software and everyone in it are made up. Clear the white cells to start your own.</t>
        </is>
      </c>
      <c r="B3" s="5" t="n"/>
      <c r="C3" s="5" t="n"/>
      <c r="D3" s="5" t="n"/>
      <c r="E3" s="5" t="n"/>
      <c r="F3" s="5" t="n"/>
    </row>
    <row r="4" ht="6" customHeight="1"/>
    <row r="5">
      <c r="A5" s="11" t="inlineStr">
        <is>
          <t>ENVELOPE</t>
        </is>
      </c>
      <c r="B5" s="12" t="n"/>
      <c r="C5" s="12" t="n"/>
      <c r="D5" s="12" t="n"/>
      <c r="E5" s="12" t="n"/>
      <c r="F5" s="12" t="n"/>
    </row>
    <row r="6">
      <c r="A6" s="13" t="inlineStr">
        <is>
          <t>ENVELOPE</t>
        </is>
      </c>
      <c r="B6" s="27" t="n">
        <v>2400000</v>
      </c>
      <c r="C6" s="31" t="inlineStr">
        <is>
          <t>The total the portfolio may spend. Optional; leave it blank and the envelope check doesn't run.</t>
        </is>
      </c>
    </row>
    <row r="7">
      <c r="A7" s="13" t="inlineStr">
        <is>
          <t>CURRENCY</t>
        </is>
      </c>
      <c r="B7" s="14" t="inlineStr">
        <is>
          <t>USD</t>
        </is>
      </c>
      <c r="C7" s="31" t="inlineStr">
        <is>
          <t>The currency of every figure in this workbook. Pick one, or type another code.</t>
        </is>
      </c>
    </row>
    <row r="8">
      <c r="A8" s="13" t="inlineStr">
        <is>
          <t>SOURCE</t>
        </is>
      </c>
      <c r="B8" s="14" t="inlineStr">
        <is>
          <t>FY27 plan, approved 30 Sep 2026</t>
        </is>
      </c>
      <c r="C8" s="31" t="inlineStr">
        <is>
          <t>Where the figure came from, such as a plan or a board decision, with its date.</t>
        </is>
      </c>
    </row>
    <row r="9">
      <c r="A9" s="13" t="inlineStr">
        <is>
          <t>SET BY</t>
        </is>
      </c>
      <c r="B9" s="14" t="inlineStr">
        <is>
          <t>Priya (CTO)</t>
        </is>
      </c>
      <c r="C9" s="31" t="inlineStr">
        <is>
          <t>Who set the figure, or last changed it.</t>
        </is>
      </c>
    </row>
    <row r="10">
      <c r="A10" s="13" t="inlineStr">
        <is>
          <t>BUDGETS GIVEN OUT</t>
        </is>
      </c>
      <c r="B10" s="32">
        <f>SUMIFS(Register!$K$6:$K$305,Register!$C$6:$C$305,"Portfolio",Register!$D$6:$D$305,"&lt;&gt;Proposed")</f>
        <v/>
      </c>
      <c r="C10" s="31" t="inlineStr">
        <is>
          <t>Every Budget on a row directly under Portfolio, Proposed rows left out. When a row closes, lower its Budget to what was spent.</t>
        </is>
      </c>
    </row>
    <row r="11">
      <c r="A11" s="13" t="inlineStr">
        <is>
          <t>LEFT IN THE ENVELOPE</t>
        </is>
      </c>
      <c r="B11" s="32">
        <f>IF($B$6="","",$B$6-$B$10)</f>
        <v/>
      </c>
      <c r="C11" s="31" t="inlineStr">
        <is>
          <t>The envelope minus budgets given out. Negative means over.</t>
        </is>
      </c>
    </row>
    <row r="12">
      <c r="A12" s="13" t="inlineStr">
        <is>
          <t>FORECAST SPEND, ALL PROJECTS</t>
        </is>
      </c>
      <c r="B12" s="32">
        <f>SUMIFS(Register!$J$6:$J$305,Register!$B$6:$B$305,"Project",Register!$D$6:$D$305,"&lt;&gt;Proposed",Register!$Z$6:$Z$305,1)</f>
        <v/>
      </c>
      <c r="C12" s="31" t="inlineStr">
        <is>
          <t>Forecast spend added up across this portfolio's projects, Proposed left out.</t>
        </is>
      </c>
    </row>
    <row r="13">
      <c r="A13" s="13" t="inlineStr">
        <is>
          <t>PROJECTS WITH NO FORECAST SPEND</t>
        </is>
      </c>
      <c r="B13" s="20">
        <f>COUNTIFS(Register!$B$6:$B$305,"Project",Register!$D$6:$D$305,"&lt;&gt;Proposed",Register!$Z$6:$Z$305,1)-COUNTIFS(Register!$B$6:$B$305,"Project",Register!$D$6:$D$305,"&lt;&gt;Proposed",Register!$Z$6:$Z$305,1,Register!$J$6:$J$305,"&gt;=0")</f>
        <v/>
      </c>
      <c r="C13" s="31" t="inlineStr">
        <is>
          <t>Projects in that total with Forecast spend blank. While there are any, the figure above reads low.</t>
        </is>
      </c>
    </row>
    <row r="14">
      <c r="A14" s="13" t="inlineStr">
        <is>
          <t>ENVELOPE CHECK</t>
        </is>
      </c>
      <c r="B14" s="17">
        <f>IF(OR($B$6="",$B$10&lt;=$B$6),"○ Clear","△ Budgets over the envelope by "&amp;TEXT($B$10-$B$6,"#,##0")&amp;IF($B$7="",""," "&amp;$B$7))</f>
        <v/>
      </c>
      <c r="C14" s="31" t="inlineStr">
        <is>
          <t>Shows △ when budgets given out pass the envelope.</t>
        </is>
      </c>
    </row>
    <row r="16">
      <c r="A16" s="11" t="inlineStr">
        <is>
          <t>BUDGETS, WORKED OUT FROM THE REGISTER</t>
        </is>
      </c>
      <c r="B16" s="12" t="n"/>
      <c r="C16" s="12" t="n"/>
      <c r="D16" s="12" t="n"/>
      <c r="E16" s="12" t="n"/>
      <c r="F16" s="12" t="n"/>
    </row>
    <row r="17" ht="20" customHeight="1">
      <c r="A17" s="22" t="inlineStr">
        <is>
          <t>Name</t>
        </is>
      </c>
      <c r="B17" s="22" t="inlineStr">
        <is>
          <t>Budget</t>
        </is>
      </c>
      <c r="C17" s="22" t="inlineStr">
        <is>
          <t>Level</t>
        </is>
      </c>
      <c r="D17" s="22" t="inlineStr">
        <is>
          <t>Status</t>
        </is>
      </c>
      <c r="E17" s="22" t="inlineStr">
        <is>
          <t>Forecast spend</t>
        </is>
      </c>
      <c r="F17" s="22" t="inlineStr">
        <is>
          <t>Against budget</t>
        </is>
      </c>
    </row>
    <row r="18">
      <c r="A18" s="28">
        <f>IFERROR(INDEX(Register!$A$6:$A$305,MATCH(1,Register!$AI$6:$AI$305,0)),"")</f>
        <v/>
      </c>
      <c r="B18" s="32">
        <f>IF($A18="","",IF(INDEX(Register!$K$6:$K$305,MATCH(1,Register!$AI$6:$AI$305,0))="","",INDEX(Register!$K$6:$K$305,MATCH(1,Register!$AI$6:$AI$305,0))))</f>
        <v/>
      </c>
      <c r="C18" s="28">
        <f>IF($A18="","",INDEX(Register!$B$6:$B$305,MATCH(1,Register!$AI$6:$AI$305,0)))</f>
        <v/>
      </c>
      <c r="D18" s="28">
        <f>IF($A18="","",INDEX(Register!$D$6:$D$305,MATCH(1,Register!$AI$6:$AI$305,0)))</f>
        <v/>
      </c>
      <c r="E18" s="32">
        <f>IF($A18="","",IF($C18="Program",INDEX(Register!$V$6:$V$305,MATCH(1,Register!$AI$6:$AI$305,0)),IF(INDEX(Register!$J$6:$J$305,MATCH(1,Register!$AI$6:$AI$305,0))="","",INDEX(Register!$J$6:$J$305,MATCH(1,Register!$AI$6:$AI$305,0)))))</f>
        <v/>
      </c>
      <c r="F18" s="32">
        <f>IF(OR($B18="",$E18=""),"",$E18-$B18)</f>
        <v/>
      </c>
    </row>
    <row r="19">
      <c r="A19" s="28">
        <f>IFERROR(INDEX(Register!$A$6:$A$305,MATCH(2,Register!$AI$6:$AI$305,0)),"")</f>
        <v/>
      </c>
      <c r="B19" s="32">
        <f>IF($A19="","",IF(INDEX(Register!$K$6:$K$305,MATCH(2,Register!$AI$6:$AI$305,0))="","",INDEX(Register!$K$6:$K$305,MATCH(2,Register!$AI$6:$AI$305,0))))</f>
        <v/>
      </c>
      <c r="C19" s="28">
        <f>IF($A19="","",INDEX(Register!$B$6:$B$305,MATCH(2,Register!$AI$6:$AI$305,0)))</f>
        <v/>
      </c>
      <c r="D19" s="28">
        <f>IF($A19="","",INDEX(Register!$D$6:$D$305,MATCH(2,Register!$AI$6:$AI$305,0)))</f>
        <v/>
      </c>
      <c r="E19" s="32">
        <f>IF($A19="","",IF($C19="Program",INDEX(Register!$V$6:$V$305,MATCH(2,Register!$AI$6:$AI$305,0)),IF(INDEX(Register!$J$6:$J$305,MATCH(2,Register!$AI$6:$AI$305,0))="","",INDEX(Register!$J$6:$J$305,MATCH(2,Register!$AI$6:$AI$305,0)))))</f>
        <v/>
      </c>
      <c r="F19" s="32">
        <f>IF(OR($B19="",$E19=""),"",$E19-$B19)</f>
        <v/>
      </c>
    </row>
    <row r="20">
      <c r="A20" s="28">
        <f>IFERROR(INDEX(Register!$A$6:$A$305,MATCH(3,Register!$AI$6:$AI$305,0)),"")</f>
        <v/>
      </c>
      <c r="B20" s="32">
        <f>IF($A20="","",IF(INDEX(Register!$K$6:$K$305,MATCH(3,Register!$AI$6:$AI$305,0))="","",INDEX(Register!$K$6:$K$305,MATCH(3,Register!$AI$6:$AI$305,0))))</f>
        <v/>
      </c>
      <c r="C20" s="28">
        <f>IF($A20="","",INDEX(Register!$B$6:$B$305,MATCH(3,Register!$AI$6:$AI$305,0)))</f>
        <v/>
      </c>
      <c r="D20" s="28">
        <f>IF($A20="","",INDEX(Register!$D$6:$D$305,MATCH(3,Register!$AI$6:$AI$305,0)))</f>
        <v/>
      </c>
      <c r="E20" s="32">
        <f>IF($A20="","",IF($C20="Program",INDEX(Register!$V$6:$V$305,MATCH(3,Register!$AI$6:$AI$305,0)),IF(INDEX(Register!$J$6:$J$305,MATCH(3,Register!$AI$6:$AI$305,0))="","",INDEX(Register!$J$6:$J$305,MATCH(3,Register!$AI$6:$AI$305,0)))))</f>
        <v/>
      </c>
      <c r="F20" s="32">
        <f>IF(OR($B20="",$E20=""),"",$E20-$B20)</f>
        <v/>
      </c>
    </row>
    <row r="21">
      <c r="A21" s="28">
        <f>IFERROR(INDEX(Register!$A$6:$A$305,MATCH(4,Register!$AI$6:$AI$305,0)),"")</f>
        <v/>
      </c>
      <c r="B21" s="32">
        <f>IF($A21="","",IF(INDEX(Register!$K$6:$K$305,MATCH(4,Register!$AI$6:$AI$305,0))="","",INDEX(Register!$K$6:$K$305,MATCH(4,Register!$AI$6:$AI$305,0))))</f>
        <v/>
      </c>
      <c r="C21" s="28">
        <f>IF($A21="","",INDEX(Register!$B$6:$B$305,MATCH(4,Register!$AI$6:$AI$305,0)))</f>
        <v/>
      </c>
      <c r="D21" s="28">
        <f>IF($A21="","",INDEX(Register!$D$6:$D$305,MATCH(4,Register!$AI$6:$AI$305,0)))</f>
        <v/>
      </c>
      <c r="E21" s="32">
        <f>IF($A21="","",IF($C21="Program",INDEX(Register!$V$6:$V$305,MATCH(4,Register!$AI$6:$AI$305,0)),IF(INDEX(Register!$J$6:$J$305,MATCH(4,Register!$AI$6:$AI$305,0))="","",INDEX(Register!$J$6:$J$305,MATCH(4,Register!$AI$6:$AI$305,0)))))</f>
        <v/>
      </c>
      <c r="F21" s="32">
        <f>IF(OR($B21="",$E21=""),"",$E21-$B21)</f>
        <v/>
      </c>
    </row>
    <row r="22">
      <c r="A22" s="28">
        <f>IFERROR(INDEX(Register!$A$6:$A$305,MATCH(5,Register!$AI$6:$AI$305,0)),"")</f>
        <v/>
      </c>
      <c r="B22" s="32">
        <f>IF($A22="","",IF(INDEX(Register!$K$6:$K$305,MATCH(5,Register!$AI$6:$AI$305,0))="","",INDEX(Register!$K$6:$K$305,MATCH(5,Register!$AI$6:$AI$305,0))))</f>
        <v/>
      </c>
      <c r="C22" s="28">
        <f>IF($A22="","",INDEX(Register!$B$6:$B$305,MATCH(5,Register!$AI$6:$AI$305,0)))</f>
        <v/>
      </c>
      <c r="D22" s="28">
        <f>IF($A22="","",INDEX(Register!$D$6:$D$305,MATCH(5,Register!$AI$6:$AI$305,0)))</f>
        <v/>
      </c>
      <c r="E22" s="32">
        <f>IF($A22="","",IF($C22="Program",INDEX(Register!$V$6:$V$305,MATCH(5,Register!$AI$6:$AI$305,0)),IF(INDEX(Register!$J$6:$J$305,MATCH(5,Register!$AI$6:$AI$305,0))="","",INDEX(Register!$J$6:$J$305,MATCH(5,Register!$AI$6:$AI$305,0)))))</f>
        <v/>
      </c>
      <c r="F22" s="32">
        <f>IF(OR($B22="",$E22=""),"",$E22-$B22)</f>
        <v/>
      </c>
    </row>
    <row r="23">
      <c r="A23" s="28">
        <f>IFERROR(INDEX(Register!$A$6:$A$305,MATCH(6,Register!$AI$6:$AI$305,0)),"")</f>
        <v/>
      </c>
      <c r="B23" s="32">
        <f>IF($A23="","",IF(INDEX(Register!$K$6:$K$305,MATCH(6,Register!$AI$6:$AI$305,0))="","",INDEX(Register!$K$6:$K$305,MATCH(6,Register!$AI$6:$AI$305,0))))</f>
        <v/>
      </c>
      <c r="C23" s="28">
        <f>IF($A23="","",INDEX(Register!$B$6:$B$305,MATCH(6,Register!$AI$6:$AI$305,0)))</f>
        <v/>
      </c>
      <c r="D23" s="28">
        <f>IF($A23="","",INDEX(Register!$D$6:$D$305,MATCH(6,Register!$AI$6:$AI$305,0)))</f>
        <v/>
      </c>
      <c r="E23" s="32">
        <f>IF($A23="","",IF($C23="Program",INDEX(Register!$V$6:$V$305,MATCH(6,Register!$AI$6:$AI$305,0)),IF(INDEX(Register!$J$6:$J$305,MATCH(6,Register!$AI$6:$AI$305,0))="","",INDEX(Register!$J$6:$J$305,MATCH(6,Register!$AI$6:$AI$305,0)))))</f>
        <v/>
      </c>
      <c r="F23" s="32">
        <f>IF(OR($B23="",$E23=""),"",$E23-$B23)</f>
        <v/>
      </c>
    </row>
    <row r="24">
      <c r="A24" s="28">
        <f>IFERROR(INDEX(Register!$A$6:$A$305,MATCH(7,Register!$AI$6:$AI$305,0)),"")</f>
        <v/>
      </c>
      <c r="B24" s="32">
        <f>IF($A24="","",IF(INDEX(Register!$K$6:$K$305,MATCH(7,Register!$AI$6:$AI$305,0))="","",INDEX(Register!$K$6:$K$305,MATCH(7,Register!$AI$6:$AI$305,0))))</f>
        <v/>
      </c>
      <c r="C24" s="28">
        <f>IF($A24="","",INDEX(Register!$B$6:$B$305,MATCH(7,Register!$AI$6:$AI$305,0)))</f>
        <v/>
      </c>
      <c r="D24" s="28">
        <f>IF($A24="","",INDEX(Register!$D$6:$D$305,MATCH(7,Register!$AI$6:$AI$305,0)))</f>
        <v/>
      </c>
      <c r="E24" s="32">
        <f>IF($A24="","",IF($C24="Program",INDEX(Register!$V$6:$V$305,MATCH(7,Register!$AI$6:$AI$305,0)),IF(INDEX(Register!$J$6:$J$305,MATCH(7,Register!$AI$6:$AI$305,0))="","",INDEX(Register!$J$6:$J$305,MATCH(7,Register!$AI$6:$AI$305,0)))))</f>
        <v/>
      </c>
      <c r="F24" s="32">
        <f>IF(OR($B24="",$E24=""),"",$E24-$B24)</f>
        <v/>
      </c>
    </row>
    <row r="25">
      <c r="A25" s="28">
        <f>IFERROR(INDEX(Register!$A$6:$A$305,MATCH(8,Register!$AI$6:$AI$305,0)),"")</f>
        <v/>
      </c>
      <c r="B25" s="32">
        <f>IF($A25="","",IF(INDEX(Register!$K$6:$K$305,MATCH(8,Register!$AI$6:$AI$305,0))="","",INDEX(Register!$K$6:$K$305,MATCH(8,Register!$AI$6:$AI$305,0))))</f>
        <v/>
      </c>
      <c r="C25" s="28">
        <f>IF($A25="","",INDEX(Register!$B$6:$B$305,MATCH(8,Register!$AI$6:$AI$305,0)))</f>
        <v/>
      </c>
      <c r="D25" s="28">
        <f>IF($A25="","",INDEX(Register!$D$6:$D$305,MATCH(8,Register!$AI$6:$AI$305,0)))</f>
        <v/>
      </c>
      <c r="E25" s="32">
        <f>IF($A25="","",IF($C25="Program",INDEX(Register!$V$6:$V$305,MATCH(8,Register!$AI$6:$AI$305,0)),IF(INDEX(Register!$J$6:$J$305,MATCH(8,Register!$AI$6:$AI$305,0))="","",INDEX(Register!$J$6:$J$305,MATCH(8,Register!$AI$6:$AI$305,0)))))</f>
        <v/>
      </c>
      <c r="F25" s="32">
        <f>IF(OR($B25="",$E25=""),"",$E25-$B25)</f>
        <v/>
      </c>
    </row>
    <row r="26">
      <c r="A26" s="28">
        <f>IFERROR(INDEX(Register!$A$6:$A$305,MATCH(9,Register!$AI$6:$AI$305,0)),"")</f>
        <v/>
      </c>
      <c r="B26" s="32">
        <f>IF($A26="","",IF(INDEX(Register!$K$6:$K$305,MATCH(9,Register!$AI$6:$AI$305,0))="","",INDEX(Register!$K$6:$K$305,MATCH(9,Register!$AI$6:$AI$305,0))))</f>
        <v/>
      </c>
      <c r="C26" s="28">
        <f>IF($A26="","",INDEX(Register!$B$6:$B$305,MATCH(9,Register!$AI$6:$AI$305,0)))</f>
        <v/>
      </c>
      <c r="D26" s="28">
        <f>IF($A26="","",INDEX(Register!$D$6:$D$305,MATCH(9,Register!$AI$6:$AI$305,0)))</f>
        <v/>
      </c>
      <c r="E26" s="32">
        <f>IF($A26="","",IF($C26="Program",INDEX(Register!$V$6:$V$305,MATCH(9,Register!$AI$6:$AI$305,0)),IF(INDEX(Register!$J$6:$J$305,MATCH(9,Register!$AI$6:$AI$305,0))="","",INDEX(Register!$J$6:$J$305,MATCH(9,Register!$AI$6:$AI$305,0)))))</f>
        <v/>
      </c>
      <c r="F26" s="32">
        <f>IF(OR($B26="",$E26=""),"",$E26-$B26)</f>
        <v/>
      </c>
    </row>
    <row r="27">
      <c r="A27" s="28">
        <f>IFERROR(INDEX(Register!$A$6:$A$305,MATCH(10,Register!$AI$6:$AI$305,0)),"")</f>
        <v/>
      </c>
      <c r="B27" s="32">
        <f>IF($A27="","",IF(INDEX(Register!$K$6:$K$305,MATCH(10,Register!$AI$6:$AI$305,0))="","",INDEX(Register!$K$6:$K$305,MATCH(10,Register!$AI$6:$AI$305,0))))</f>
        <v/>
      </c>
      <c r="C27" s="28">
        <f>IF($A27="","",INDEX(Register!$B$6:$B$305,MATCH(10,Register!$AI$6:$AI$305,0)))</f>
        <v/>
      </c>
      <c r="D27" s="28">
        <f>IF($A27="","",INDEX(Register!$D$6:$D$305,MATCH(10,Register!$AI$6:$AI$305,0)))</f>
        <v/>
      </c>
      <c r="E27" s="32">
        <f>IF($A27="","",IF($C27="Program",INDEX(Register!$V$6:$V$305,MATCH(10,Register!$AI$6:$AI$305,0)),IF(INDEX(Register!$J$6:$J$305,MATCH(10,Register!$AI$6:$AI$305,0))="","",INDEX(Register!$J$6:$J$305,MATCH(10,Register!$AI$6:$AI$305,0)))))</f>
        <v/>
      </c>
      <c r="F27" s="32">
        <f>IF(OR($B27="",$E27=""),"",$E27-$B27)</f>
        <v/>
      </c>
    </row>
    <row r="28">
      <c r="A28" s="28">
        <f>IFERROR(INDEX(Register!$A$6:$A$305,MATCH(11,Register!$AI$6:$AI$305,0)),"")</f>
        <v/>
      </c>
      <c r="B28" s="32">
        <f>IF($A28="","",IF(INDEX(Register!$K$6:$K$305,MATCH(11,Register!$AI$6:$AI$305,0))="","",INDEX(Register!$K$6:$K$305,MATCH(11,Register!$AI$6:$AI$305,0))))</f>
        <v/>
      </c>
      <c r="C28" s="28">
        <f>IF($A28="","",INDEX(Register!$B$6:$B$305,MATCH(11,Register!$AI$6:$AI$305,0)))</f>
        <v/>
      </c>
      <c r="D28" s="28">
        <f>IF($A28="","",INDEX(Register!$D$6:$D$305,MATCH(11,Register!$AI$6:$AI$305,0)))</f>
        <v/>
      </c>
      <c r="E28" s="32">
        <f>IF($A28="","",IF($C28="Program",INDEX(Register!$V$6:$V$305,MATCH(11,Register!$AI$6:$AI$305,0)),IF(INDEX(Register!$J$6:$J$305,MATCH(11,Register!$AI$6:$AI$305,0))="","",INDEX(Register!$J$6:$J$305,MATCH(11,Register!$AI$6:$AI$305,0)))))</f>
        <v/>
      </c>
      <c r="F28" s="32">
        <f>IF(OR($B28="",$E28=""),"",$E28-$B28)</f>
        <v/>
      </c>
    </row>
    <row r="29">
      <c r="A29" s="28">
        <f>IFERROR(INDEX(Register!$A$6:$A$305,MATCH(12,Register!$AI$6:$AI$305,0)),"")</f>
        <v/>
      </c>
      <c r="B29" s="32">
        <f>IF($A29="","",IF(INDEX(Register!$K$6:$K$305,MATCH(12,Register!$AI$6:$AI$305,0))="","",INDEX(Register!$K$6:$K$305,MATCH(12,Register!$AI$6:$AI$305,0))))</f>
        <v/>
      </c>
      <c r="C29" s="28">
        <f>IF($A29="","",INDEX(Register!$B$6:$B$305,MATCH(12,Register!$AI$6:$AI$305,0)))</f>
        <v/>
      </c>
      <c r="D29" s="28">
        <f>IF($A29="","",INDEX(Register!$D$6:$D$305,MATCH(12,Register!$AI$6:$AI$305,0)))</f>
        <v/>
      </c>
      <c r="E29" s="32">
        <f>IF($A29="","",IF($C29="Program",INDEX(Register!$V$6:$V$305,MATCH(12,Register!$AI$6:$AI$305,0)),IF(INDEX(Register!$J$6:$J$305,MATCH(12,Register!$AI$6:$AI$305,0))="","",INDEX(Register!$J$6:$J$305,MATCH(12,Register!$AI$6:$AI$305,0)))))</f>
        <v/>
      </c>
      <c r="F29" s="32">
        <f>IF(OR($B29="",$E29=""),"",$E29-$B29)</f>
        <v/>
      </c>
    </row>
    <row r="30">
      <c r="A30" s="28">
        <f>IFERROR(INDEX(Register!$A$6:$A$305,MATCH(13,Register!$AI$6:$AI$305,0)),"")</f>
        <v/>
      </c>
      <c r="B30" s="32">
        <f>IF($A30="","",IF(INDEX(Register!$K$6:$K$305,MATCH(13,Register!$AI$6:$AI$305,0))="","",INDEX(Register!$K$6:$K$305,MATCH(13,Register!$AI$6:$AI$305,0))))</f>
        <v/>
      </c>
      <c r="C30" s="28">
        <f>IF($A30="","",INDEX(Register!$B$6:$B$305,MATCH(13,Register!$AI$6:$AI$305,0)))</f>
        <v/>
      </c>
      <c r="D30" s="28">
        <f>IF($A30="","",INDEX(Register!$D$6:$D$305,MATCH(13,Register!$AI$6:$AI$305,0)))</f>
        <v/>
      </c>
      <c r="E30" s="32">
        <f>IF($A30="","",IF($C30="Program",INDEX(Register!$V$6:$V$305,MATCH(13,Register!$AI$6:$AI$305,0)),IF(INDEX(Register!$J$6:$J$305,MATCH(13,Register!$AI$6:$AI$305,0))="","",INDEX(Register!$J$6:$J$305,MATCH(13,Register!$AI$6:$AI$305,0)))))</f>
        <v/>
      </c>
      <c r="F30" s="32">
        <f>IF(OR($B30="",$E30=""),"",$E30-$B30)</f>
        <v/>
      </c>
    </row>
    <row r="31">
      <c r="A31" s="28">
        <f>IFERROR(INDEX(Register!$A$6:$A$305,MATCH(14,Register!$AI$6:$AI$305,0)),"")</f>
        <v/>
      </c>
      <c r="B31" s="32">
        <f>IF($A31="","",IF(INDEX(Register!$K$6:$K$305,MATCH(14,Register!$AI$6:$AI$305,0))="","",INDEX(Register!$K$6:$K$305,MATCH(14,Register!$AI$6:$AI$305,0))))</f>
        <v/>
      </c>
      <c r="C31" s="28">
        <f>IF($A31="","",INDEX(Register!$B$6:$B$305,MATCH(14,Register!$AI$6:$AI$305,0)))</f>
        <v/>
      </c>
      <c r="D31" s="28">
        <f>IF($A31="","",INDEX(Register!$D$6:$D$305,MATCH(14,Register!$AI$6:$AI$305,0)))</f>
        <v/>
      </c>
      <c r="E31" s="32">
        <f>IF($A31="","",IF($C31="Program",INDEX(Register!$V$6:$V$305,MATCH(14,Register!$AI$6:$AI$305,0)),IF(INDEX(Register!$J$6:$J$305,MATCH(14,Register!$AI$6:$AI$305,0))="","",INDEX(Register!$J$6:$J$305,MATCH(14,Register!$AI$6:$AI$305,0)))))</f>
        <v/>
      </c>
      <c r="F31" s="32">
        <f>IF(OR($B31="",$E31=""),"",$E31-$B31)</f>
        <v/>
      </c>
    </row>
    <row r="32">
      <c r="A32" s="28">
        <f>IFERROR(INDEX(Register!$A$6:$A$305,MATCH(15,Register!$AI$6:$AI$305,0)),"")</f>
        <v/>
      </c>
      <c r="B32" s="32">
        <f>IF($A32="","",IF(INDEX(Register!$K$6:$K$305,MATCH(15,Register!$AI$6:$AI$305,0))="","",INDEX(Register!$K$6:$K$305,MATCH(15,Register!$AI$6:$AI$305,0))))</f>
        <v/>
      </c>
      <c r="C32" s="28">
        <f>IF($A32="","",INDEX(Register!$B$6:$B$305,MATCH(15,Register!$AI$6:$AI$305,0)))</f>
        <v/>
      </c>
      <c r="D32" s="28">
        <f>IF($A32="","",INDEX(Register!$D$6:$D$305,MATCH(15,Register!$AI$6:$AI$305,0)))</f>
        <v/>
      </c>
      <c r="E32" s="32">
        <f>IF($A32="","",IF($C32="Program",INDEX(Register!$V$6:$V$305,MATCH(15,Register!$AI$6:$AI$305,0)),IF(INDEX(Register!$J$6:$J$305,MATCH(15,Register!$AI$6:$AI$305,0))="","",INDEX(Register!$J$6:$J$305,MATCH(15,Register!$AI$6:$AI$305,0)))))</f>
        <v/>
      </c>
      <c r="F32" s="32">
        <f>IF(OR($B32="",$E32=""),"",$E32-$B32)</f>
        <v/>
      </c>
    </row>
    <row r="33">
      <c r="A33" s="28">
        <f>IFERROR(INDEX(Register!$A$6:$A$305,MATCH(16,Register!$AI$6:$AI$305,0)),"")</f>
        <v/>
      </c>
      <c r="B33" s="32">
        <f>IF($A33="","",IF(INDEX(Register!$K$6:$K$305,MATCH(16,Register!$AI$6:$AI$305,0))="","",INDEX(Register!$K$6:$K$305,MATCH(16,Register!$AI$6:$AI$305,0))))</f>
        <v/>
      </c>
      <c r="C33" s="28">
        <f>IF($A33="","",INDEX(Register!$B$6:$B$305,MATCH(16,Register!$AI$6:$AI$305,0)))</f>
        <v/>
      </c>
      <c r="D33" s="28">
        <f>IF($A33="","",INDEX(Register!$D$6:$D$305,MATCH(16,Register!$AI$6:$AI$305,0)))</f>
        <v/>
      </c>
      <c r="E33" s="32">
        <f>IF($A33="","",IF($C33="Program",INDEX(Register!$V$6:$V$305,MATCH(16,Register!$AI$6:$AI$305,0)),IF(INDEX(Register!$J$6:$J$305,MATCH(16,Register!$AI$6:$AI$305,0))="","",INDEX(Register!$J$6:$J$305,MATCH(16,Register!$AI$6:$AI$305,0)))))</f>
        <v/>
      </c>
      <c r="F33" s="32">
        <f>IF(OR($B33="",$E33=""),"",$E33-$B33)</f>
        <v/>
      </c>
    </row>
    <row r="34">
      <c r="A34" s="28">
        <f>IFERROR(INDEX(Register!$A$6:$A$305,MATCH(17,Register!$AI$6:$AI$305,0)),"")</f>
        <v/>
      </c>
      <c r="B34" s="32">
        <f>IF($A34="","",IF(INDEX(Register!$K$6:$K$305,MATCH(17,Register!$AI$6:$AI$305,0))="","",INDEX(Register!$K$6:$K$305,MATCH(17,Register!$AI$6:$AI$305,0))))</f>
        <v/>
      </c>
      <c r="C34" s="28">
        <f>IF($A34="","",INDEX(Register!$B$6:$B$305,MATCH(17,Register!$AI$6:$AI$305,0)))</f>
        <v/>
      </c>
      <c r="D34" s="28">
        <f>IF($A34="","",INDEX(Register!$D$6:$D$305,MATCH(17,Register!$AI$6:$AI$305,0)))</f>
        <v/>
      </c>
      <c r="E34" s="32">
        <f>IF($A34="","",IF($C34="Program",INDEX(Register!$V$6:$V$305,MATCH(17,Register!$AI$6:$AI$305,0)),IF(INDEX(Register!$J$6:$J$305,MATCH(17,Register!$AI$6:$AI$305,0))="","",INDEX(Register!$J$6:$J$305,MATCH(17,Register!$AI$6:$AI$305,0)))))</f>
        <v/>
      </c>
      <c r="F34" s="32">
        <f>IF(OR($B34="",$E34=""),"",$E34-$B34)</f>
        <v/>
      </c>
    </row>
    <row r="35">
      <c r="A35" s="28">
        <f>IFERROR(INDEX(Register!$A$6:$A$305,MATCH(18,Register!$AI$6:$AI$305,0)),"")</f>
        <v/>
      </c>
      <c r="B35" s="32">
        <f>IF($A35="","",IF(INDEX(Register!$K$6:$K$305,MATCH(18,Register!$AI$6:$AI$305,0))="","",INDEX(Register!$K$6:$K$305,MATCH(18,Register!$AI$6:$AI$305,0))))</f>
        <v/>
      </c>
      <c r="C35" s="28">
        <f>IF($A35="","",INDEX(Register!$B$6:$B$305,MATCH(18,Register!$AI$6:$AI$305,0)))</f>
        <v/>
      </c>
      <c r="D35" s="28">
        <f>IF($A35="","",INDEX(Register!$D$6:$D$305,MATCH(18,Register!$AI$6:$AI$305,0)))</f>
        <v/>
      </c>
      <c r="E35" s="32">
        <f>IF($A35="","",IF($C35="Program",INDEX(Register!$V$6:$V$305,MATCH(18,Register!$AI$6:$AI$305,0)),IF(INDEX(Register!$J$6:$J$305,MATCH(18,Register!$AI$6:$AI$305,0))="","",INDEX(Register!$J$6:$J$305,MATCH(18,Register!$AI$6:$AI$305,0)))))</f>
        <v/>
      </c>
      <c r="F35" s="32">
        <f>IF(OR($B35="",$E35=""),"",$E35-$B35)</f>
        <v/>
      </c>
    </row>
    <row r="36">
      <c r="A36" s="28">
        <f>IFERROR(INDEX(Register!$A$6:$A$305,MATCH(19,Register!$AI$6:$AI$305,0)),"")</f>
        <v/>
      </c>
      <c r="B36" s="32">
        <f>IF($A36="","",IF(INDEX(Register!$K$6:$K$305,MATCH(19,Register!$AI$6:$AI$305,0))="","",INDEX(Register!$K$6:$K$305,MATCH(19,Register!$AI$6:$AI$305,0))))</f>
        <v/>
      </c>
      <c r="C36" s="28">
        <f>IF($A36="","",INDEX(Register!$B$6:$B$305,MATCH(19,Register!$AI$6:$AI$305,0)))</f>
        <v/>
      </c>
      <c r="D36" s="28">
        <f>IF($A36="","",INDEX(Register!$D$6:$D$305,MATCH(19,Register!$AI$6:$AI$305,0)))</f>
        <v/>
      </c>
      <c r="E36" s="32">
        <f>IF($A36="","",IF($C36="Program",INDEX(Register!$V$6:$V$305,MATCH(19,Register!$AI$6:$AI$305,0)),IF(INDEX(Register!$J$6:$J$305,MATCH(19,Register!$AI$6:$AI$305,0))="","",INDEX(Register!$J$6:$J$305,MATCH(19,Register!$AI$6:$AI$305,0)))))</f>
        <v/>
      </c>
      <c r="F36" s="32">
        <f>IF(OR($B36="",$E36=""),"",$E36-$B36)</f>
        <v/>
      </c>
    </row>
    <row r="37">
      <c r="A37" s="28">
        <f>IFERROR(INDEX(Register!$A$6:$A$305,MATCH(20,Register!$AI$6:$AI$305,0)),"")</f>
        <v/>
      </c>
      <c r="B37" s="32">
        <f>IF($A37="","",IF(INDEX(Register!$K$6:$K$305,MATCH(20,Register!$AI$6:$AI$305,0))="","",INDEX(Register!$K$6:$K$305,MATCH(20,Register!$AI$6:$AI$305,0))))</f>
        <v/>
      </c>
      <c r="C37" s="28">
        <f>IF($A37="","",INDEX(Register!$B$6:$B$305,MATCH(20,Register!$AI$6:$AI$305,0)))</f>
        <v/>
      </c>
      <c r="D37" s="28">
        <f>IF($A37="","",INDEX(Register!$D$6:$D$305,MATCH(20,Register!$AI$6:$AI$305,0)))</f>
        <v/>
      </c>
      <c r="E37" s="32">
        <f>IF($A37="","",IF($C37="Program",INDEX(Register!$V$6:$V$305,MATCH(20,Register!$AI$6:$AI$305,0)),IF(INDEX(Register!$J$6:$J$305,MATCH(20,Register!$AI$6:$AI$305,0))="","",INDEX(Register!$J$6:$J$305,MATCH(20,Register!$AI$6:$AI$305,0)))))</f>
        <v/>
      </c>
      <c r="F37" s="32">
        <f>IF(OR($B37="",$E37=""),"",$E37-$B37)</f>
        <v/>
      </c>
    </row>
    <row r="38">
      <c r="A38" s="28">
        <f>IFERROR(INDEX(Register!$A$6:$A$305,MATCH(21,Register!$AI$6:$AI$305,0)),"")</f>
        <v/>
      </c>
      <c r="B38" s="32">
        <f>IF($A38="","",IF(INDEX(Register!$K$6:$K$305,MATCH(21,Register!$AI$6:$AI$305,0))="","",INDEX(Register!$K$6:$K$305,MATCH(21,Register!$AI$6:$AI$305,0))))</f>
        <v/>
      </c>
      <c r="C38" s="28">
        <f>IF($A38="","",INDEX(Register!$B$6:$B$305,MATCH(21,Register!$AI$6:$AI$305,0)))</f>
        <v/>
      </c>
      <c r="D38" s="28">
        <f>IF($A38="","",INDEX(Register!$D$6:$D$305,MATCH(21,Register!$AI$6:$AI$305,0)))</f>
        <v/>
      </c>
      <c r="E38" s="32">
        <f>IF($A38="","",IF($C38="Program",INDEX(Register!$V$6:$V$305,MATCH(21,Register!$AI$6:$AI$305,0)),IF(INDEX(Register!$J$6:$J$305,MATCH(21,Register!$AI$6:$AI$305,0))="","",INDEX(Register!$J$6:$J$305,MATCH(21,Register!$AI$6:$AI$305,0)))))</f>
        <v/>
      </c>
      <c r="F38" s="32">
        <f>IF(OR($B38="",$E38=""),"",$E38-$B38)</f>
        <v/>
      </c>
    </row>
    <row r="39">
      <c r="A39" s="28">
        <f>IFERROR(INDEX(Register!$A$6:$A$305,MATCH(22,Register!$AI$6:$AI$305,0)),"")</f>
        <v/>
      </c>
      <c r="B39" s="32">
        <f>IF($A39="","",IF(INDEX(Register!$K$6:$K$305,MATCH(22,Register!$AI$6:$AI$305,0))="","",INDEX(Register!$K$6:$K$305,MATCH(22,Register!$AI$6:$AI$305,0))))</f>
        <v/>
      </c>
      <c r="C39" s="28">
        <f>IF($A39="","",INDEX(Register!$B$6:$B$305,MATCH(22,Register!$AI$6:$AI$305,0)))</f>
        <v/>
      </c>
      <c r="D39" s="28">
        <f>IF($A39="","",INDEX(Register!$D$6:$D$305,MATCH(22,Register!$AI$6:$AI$305,0)))</f>
        <v/>
      </c>
      <c r="E39" s="32">
        <f>IF($A39="","",IF($C39="Program",INDEX(Register!$V$6:$V$305,MATCH(22,Register!$AI$6:$AI$305,0)),IF(INDEX(Register!$J$6:$J$305,MATCH(22,Register!$AI$6:$AI$305,0))="","",INDEX(Register!$J$6:$J$305,MATCH(22,Register!$AI$6:$AI$305,0)))))</f>
        <v/>
      </c>
      <c r="F39" s="32">
        <f>IF(OR($B39="",$E39=""),"",$E39-$B39)</f>
        <v/>
      </c>
    </row>
    <row r="40">
      <c r="A40" s="28">
        <f>IFERROR(INDEX(Register!$A$6:$A$305,MATCH(23,Register!$AI$6:$AI$305,0)),"")</f>
        <v/>
      </c>
      <c r="B40" s="32">
        <f>IF($A40="","",IF(INDEX(Register!$K$6:$K$305,MATCH(23,Register!$AI$6:$AI$305,0))="","",INDEX(Register!$K$6:$K$305,MATCH(23,Register!$AI$6:$AI$305,0))))</f>
        <v/>
      </c>
      <c r="C40" s="28">
        <f>IF($A40="","",INDEX(Register!$B$6:$B$305,MATCH(23,Register!$AI$6:$AI$305,0)))</f>
        <v/>
      </c>
      <c r="D40" s="28">
        <f>IF($A40="","",INDEX(Register!$D$6:$D$305,MATCH(23,Register!$AI$6:$AI$305,0)))</f>
        <v/>
      </c>
      <c r="E40" s="32">
        <f>IF($A40="","",IF($C40="Program",INDEX(Register!$V$6:$V$305,MATCH(23,Register!$AI$6:$AI$305,0)),IF(INDEX(Register!$J$6:$J$305,MATCH(23,Register!$AI$6:$AI$305,0))="","",INDEX(Register!$J$6:$J$305,MATCH(23,Register!$AI$6:$AI$305,0)))))</f>
        <v/>
      </c>
      <c r="F40" s="32">
        <f>IF(OR($B40="",$E40=""),"",$E40-$B40)</f>
        <v/>
      </c>
    </row>
    <row r="41">
      <c r="A41" s="28">
        <f>IFERROR(INDEX(Register!$A$6:$A$305,MATCH(24,Register!$AI$6:$AI$305,0)),"")</f>
        <v/>
      </c>
      <c r="B41" s="32">
        <f>IF($A41="","",IF(INDEX(Register!$K$6:$K$305,MATCH(24,Register!$AI$6:$AI$305,0))="","",INDEX(Register!$K$6:$K$305,MATCH(24,Register!$AI$6:$AI$305,0))))</f>
        <v/>
      </c>
      <c r="C41" s="28">
        <f>IF($A41="","",INDEX(Register!$B$6:$B$305,MATCH(24,Register!$AI$6:$AI$305,0)))</f>
        <v/>
      </c>
      <c r="D41" s="28">
        <f>IF($A41="","",INDEX(Register!$D$6:$D$305,MATCH(24,Register!$AI$6:$AI$305,0)))</f>
        <v/>
      </c>
      <c r="E41" s="32">
        <f>IF($A41="","",IF($C41="Program",INDEX(Register!$V$6:$V$305,MATCH(24,Register!$AI$6:$AI$305,0)),IF(INDEX(Register!$J$6:$J$305,MATCH(24,Register!$AI$6:$AI$305,0))="","",INDEX(Register!$J$6:$J$305,MATCH(24,Register!$AI$6:$AI$305,0)))))</f>
        <v/>
      </c>
      <c r="F41" s="32">
        <f>IF(OR($B41="",$E41=""),"",$E41-$B41)</f>
        <v/>
      </c>
    </row>
    <row r="42">
      <c r="A42" s="28">
        <f>IFERROR(INDEX(Register!$A$6:$A$305,MATCH(25,Register!$AI$6:$AI$305,0)),"")</f>
        <v/>
      </c>
      <c r="B42" s="32">
        <f>IF($A42="","",IF(INDEX(Register!$K$6:$K$305,MATCH(25,Register!$AI$6:$AI$305,0))="","",INDEX(Register!$K$6:$K$305,MATCH(25,Register!$AI$6:$AI$305,0))))</f>
        <v/>
      </c>
      <c r="C42" s="28">
        <f>IF($A42="","",INDEX(Register!$B$6:$B$305,MATCH(25,Register!$AI$6:$AI$305,0)))</f>
        <v/>
      </c>
      <c r="D42" s="28">
        <f>IF($A42="","",INDEX(Register!$D$6:$D$305,MATCH(25,Register!$AI$6:$AI$305,0)))</f>
        <v/>
      </c>
      <c r="E42" s="32">
        <f>IF($A42="","",IF($C42="Program",INDEX(Register!$V$6:$V$305,MATCH(25,Register!$AI$6:$AI$305,0)),IF(INDEX(Register!$J$6:$J$305,MATCH(25,Register!$AI$6:$AI$305,0))="","",INDEX(Register!$J$6:$J$305,MATCH(25,Register!$AI$6:$AI$305,0)))))</f>
        <v/>
      </c>
      <c r="F42" s="32">
        <f>IF(OR($B42="",$E42=""),"",$E42-$B42)</f>
        <v/>
      </c>
    </row>
    <row r="43">
      <c r="A43" s="28">
        <f>IFERROR(INDEX(Register!$A$6:$A$305,MATCH(26,Register!$AI$6:$AI$305,0)),"")</f>
        <v/>
      </c>
      <c r="B43" s="32">
        <f>IF($A43="","",IF(INDEX(Register!$K$6:$K$305,MATCH(26,Register!$AI$6:$AI$305,0))="","",INDEX(Register!$K$6:$K$305,MATCH(26,Register!$AI$6:$AI$305,0))))</f>
        <v/>
      </c>
      <c r="C43" s="28">
        <f>IF($A43="","",INDEX(Register!$B$6:$B$305,MATCH(26,Register!$AI$6:$AI$305,0)))</f>
        <v/>
      </c>
      <c r="D43" s="28">
        <f>IF($A43="","",INDEX(Register!$D$6:$D$305,MATCH(26,Register!$AI$6:$AI$305,0)))</f>
        <v/>
      </c>
      <c r="E43" s="32">
        <f>IF($A43="","",IF($C43="Program",INDEX(Register!$V$6:$V$305,MATCH(26,Register!$AI$6:$AI$305,0)),IF(INDEX(Register!$J$6:$J$305,MATCH(26,Register!$AI$6:$AI$305,0))="","",INDEX(Register!$J$6:$J$305,MATCH(26,Register!$AI$6:$AI$305,0)))))</f>
        <v/>
      </c>
      <c r="F43" s="32">
        <f>IF(OR($B43="",$E43=""),"",$E43-$B43)</f>
        <v/>
      </c>
    </row>
    <row r="44">
      <c r="A44" s="28">
        <f>IFERROR(INDEX(Register!$A$6:$A$305,MATCH(27,Register!$AI$6:$AI$305,0)),"")</f>
        <v/>
      </c>
      <c r="B44" s="32">
        <f>IF($A44="","",IF(INDEX(Register!$K$6:$K$305,MATCH(27,Register!$AI$6:$AI$305,0))="","",INDEX(Register!$K$6:$K$305,MATCH(27,Register!$AI$6:$AI$305,0))))</f>
        <v/>
      </c>
      <c r="C44" s="28">
        <f>IF($A44="","",INDEX(Register!$B$6:$B$305,MATCH(27,Register!$AI$6:$AI$305,0)))</f>
        <v/>
      </c>
      <c r="D44" s="28">
        <f>IF($A44="","",INDEX(Register!$D$6:$D$305,MATCH(27,Register!$AI$6:$AI$305,0)))</f>
        <v/>
      </c>
      <c r="E44" s="32">
        <f>IF($A44="","",IF($C44="Program",INDEX(Register!$V$6:$V$305,MATCH(27,Register!$AI$6:$AI$305,0)),IF(INDEX(Register!$J$6:$J$305,MATCH(27,Register!$AI$6:$AI$305,0))="","",INDEX(Register!$J$6:$J$305,MATCH(27,Register!$AI$6:$AI$305,0)))))</f>
        <v/>
      </c>
      <c r="F44" s="32">
        <f>IF(OR($B44="",$E44=""),"",$E44-$B44)</f>
        <v/>
      </c>
    </row>
    <row r="45">
      <c r="A45" s="28">
        <f>IFERROR(INDEX(Register!$A$6:$A$305,MATCH(28,Register!$AI$6:$AI$305,0)),"")</f>
        <v/>
      </c>
      <c r="B45" s="32">
        <f>IF($A45="","",IF(INDEX(Register!$K$6:$K$305,MATCH(28,Register!$AI$6:$AI$305,0))="","",INDEX(Register!$K$6:$K$305,MATCH(28,Register!$AI$6:$AI$305,0))))</f>
        <v/>
      </c>
      <c r="C45" s="28">
        <f>IF($A45="","",INDEX(Register!$B$6:$B$305,MATCH(28,Register!$AI$6:$AI$305,0)))</f>
        <v/>
      </c>
      <c r="D45" s="28">
        <f>IF($A45="","",INDEX(Register!$D$6:$D$305,MATCH(28,Register!$AI$6:$AI$305,0)))</f>
        <v/>
      </c>
      <c r="E45" s="32">
        <f>IF($A45="","",IF($C45="Program",INDEX(Register!$V$6:$V$305,MATCH(28,Register!$AI$6:$AI$305,0)),IF(INDEX(Register!$J$6:$J$305,MATCH(28,Register!$AI$6:$AI$305,0))="","",INDEX(Register!$J$6:$J$305,MATCH(28,Register!$AI$6:$AI$305,0)))))</f>
        <v/>
      </c>
      <c r="F45" s="32">
        <f>IF(OR($B45="",$E45=""),"",$E45-$B45)</f>
        <v/>
      </c>
    </row>
    <row r="46">
      <c r="A46" s="28">
        <f>IFERROR(INDEX(Register!$A$6:$A$305,MATCH(29,Register!$AI$6:$AI$305,0)),"")</f>
        <v/>
      </c>
      <c r="B46" s="32">
        <f>IF($A46="","",IF(INDEX(Register!$K$6:$K$305,MATCH(29,Register!$AI$6:$AI$305,0))="","",INDEX(Register!$K$6:$K$305,MATCH(29,Register!$AI$6:$AI$305,0))))</f>
        <v/>
      </c>
      <c r="C46" s="28">
        <f>IF($A46="","",INDEX(Register!$B$6:$B$305,MATCH(29,Register!$AI$6:$AI$305,0)))</f>
        <v/>
      </c>
      <c r="D46" s="28">
        <f>IF($A46="","",INDEX(Register!$D$6:$D$305,MATCH(29,Register!$AI$6:$AI$305,0)))</f>
        <v/>
      </c>
      <c r="E46" s="32">
        <f>IF($A46="","",IF($C46="Program",INDEX(Register!$V$6:$V$305,MATCH(29,Register!$AI$6:$AI$305,0)),IF(INDEX(Register!$J$6:$J$305,MATCH(29,Register!$AI$6:$AI$305,0))="","",INDEX(Register!$J$6:$J$305,MATCH(29,Register!$AI$6:$AI$305,0)))))</f>
        <v/>
      </c>
      <c r="F46" s="32">
        <f>IF(OR($B46="",$E46=""),"",$E46-$B46)</f>
        <v/>
      </c>
    </row>
    <row r="47">
      <c r="A47" s="28">
        <f>IFERROR(INDEX(Register!$A$6:$A$305,MATCH(30,Register!$AI$6:$AI$305,0)),"")</f>
        <v/>
      </c>
      <c r="B47" s="32">
        <f>IF($A47="","",IF(INDEX(Register!$K$6:$K$305,MATCH(30,Register!$AI$6:$AI$305,0))="","",INDEX(Register!$K$6:$K$305,MATCH(30,Register!$AI$6:$AI$305,0))))</f>
        <v/>
      </c>
      <c r="C47" s="28">
        <f>IF($A47="","",INDEX(Register!$B$6:$B$305,MATCH(30,Register!$AI$6:$AI$305,0)))</f>
        <v/>
      </c>
      <c r="D47" s="28">
        <f>IF($A47="","",INDEX(Register!$D$6:$D$305,MATCH(30,Register!$AI$6:$AI$305,0)))</f>
        <v/>
      </c>
      <c r="E47" s="32">
        <f>IF($A47="","",IF($C47="Program",INDEX(Register!$V$6:$V$305,MATCH(30,Register!$AI$6:$AI$305,0)),IF(INDEX(Register!$J$6:$J$305,MATCH(30,Register!$AI$6:$AI$305,0))="","",INDEX(Register!$J$6:$J$305,MATCH(30,Register!$AI$6:$AI$305,0)))))</f>
        <v/>
      </c>
      <c r="F47" s="32">
        <f>IF(OR($B47="",$E47=""),"",$E47-$B47)</f>
        <v/>
      </c>
    </row>
    <row r="48">
      <c r="A48" s="28">
        <f>IFERROR(INDEX(Register!$A$6:$A$305,MATCH(31,Register!$AI$6:$AI$305,0)),"")</f>
        <v/>
      </c>
      <c r="B48" s="32">
        <f>IF($A48="","",IF(INDEX(Register!$K$6:$K$305,MATCH(31,Register!$AI$6:$AI$305,0))="","",INDEX(Register!$K$6:$K$305,MATCH(31,Register!$AI$6:$AI$305,0))))</f>
        <v/>
      </c>
      <c r="C48" s="28">
        <f>IF($A48="","",INDEX(Register!$B$6:$B$305,MATCH(31,Register!$AI$6:$AI$305,0)))</f>
        <v/>
      </c>
      <c r="D48" s="28">
        <f>IF($A48="","",INDEX(Register!$D$6:$D$305,MATCH(31,Register!$AI$6:$AI$305,0)))</f>
        <v/>
      </c>
      <c r="E48" s="32">
        <f>IF($A48="","",IF($C48="Program",INDEX(Register!$V$6:$V$305,MATCH(31,Register!$AI$6:$AI$305,0)),IF(INDEX(Register!$J$6:$J$305,MATCH(31,Register!$AI$6:$AI$305,0))="","",INDEX(Register!$J$6:$J$305,MATCH(31,Register!$AI$6:$AI$305,0)))))</f>
        <v/>
      </c>
      <c r="F48" s="32">
        <f>IF(OR($B48="",$E48=""),"",$E48-$B48)</f>
        <v/>
      </c>
    </row>
    <row r="49">
      <c r="A49" s="28">
        <f>IFERROR(INDEX(Register!$A$6:$A$305,MATCH(32,Register!$AI$6:$AI$305,0)),"")</f>
        <v/>
      </c>
      <c r="B49" s="32">
        <f>IF($A49="","",IF(INDEX(Register!$K$6:$K$305,MATCH(32,Register!$AI$6:$AI$305,0))="","",INDEX(Register!$K$6:$K$305,MATCH(32,Register!$AI$6:$AI$305,0))))</f>
        <v/>
      </c>
      <c r="C49" s="28">
        <f>IF($A49="","",INDEX(Register!$B$6:$B$305,MATCH(32,Register!$AI$6:$AI$305,0)))</f>
        <v/>
      </c>
      <c r="D49" s="28">
        <f>IF($A49="","",INDEX(Register!$D$6:$D$305,MATCH(32,Register!$AI$6:$AI$305,0)))</f>
        <v/>
      </c>
      <c r="E49" s="32">
        <f>IF($A49="","",IF($C49="Program",INDEX(Register!$V$6:$V$305,MATCH(32,Register!$AI$6:$AI$305,0)),IF(INDEX(Register!$J$6:$J$305,MATCH(32,Register!$AI$6:$AI$305,0))="","",INDEX(Register!$J$6:$J$305,MATCH(32,Register!$AI$6:$AI$305,0)))))</f>
        <v/>
      </c>
      <c r="F49" s="32">
        <f>IF(OR($B49="",$E49=""),"",$E49-$B49)</f>
        <v/>
      </c>
    </row>
    <row r="50">
      <c r="A50" s="28">
        <f>IFERROR(INDEX(Register!$A$6:$A$305,MATCH(33,Register!$AI$6:$AI$305,0)),"")</f>
        <v/>
      </c>
      <c r="B50" s="32">
        <f>IF($A50="","",IF(INDEX(Register!$K$6:$K$305,MATCH(33,Register!$AI$6:$AI$305,0))="","",INDEX(Register!$K$6:$K$305,MATCH(33,Register!$AI$6:$AI$305,0))))</f>
        <v/>
      </c>
      <c r="C50" s="28">
        <f>IF($A50="","",INDEX(Register!$B$6:$B$305,MATCH(33,Register!$AI$6:$AI$305,0)))</f>
        <v/>
      </c>
      <c r="D50" s="28">
        <f>IF($A50="","",INDEX(Register!$D$6:$D$305,MATCH(33,Register!$AI$6:$AI$305,0)))</f>
        <v/>
      </c>
      <c r="E50" s="32">
        <f>IF($A50="","",IF($C50="Program",INDEX(Register!$V$6:$V$305,MATCH(33,Register!$AI$6:$AI$305,0)),IF(INDEX(Register!$J$6:$J$305,MATCH(33,Register!$AI$6:$AI$305,0))="","",INDEX(Register!$J$6:$J$305,MATCH(33,Register!$AI$6:$AI$305,0)))))</f>
        <v/>
      </c>
      <c r="F50" s="32">
        <f>IF(OR($B50="",$E50=""),"",$E50-$B50)</f>
        <v/>
      </c>
    </row>
    <row r="51">
      <c r="A51" s="28">
        <f>IFERROR(INDEX(Register!$A$6:$A$305,MATCH(34,Register!$AI$6:$AI$305,0)),"")</f>
        <v/>
      </c>
      <c r="B51" s="32">
        <f>IF($A51="","",IF(INDEX(Register!$K$6:$K$305,MATCH(34,Register!$AI$6:$AI$305,0))="","",INDEX(Register!$K$6:$K$305,MATCH(34,Register!$AI$6:$AI$305,0))))</f>
        <v/>
      </c>
      <c r="C51" s="28">
        <f>IF($A51="","",INDEX(Register!$B$6:$B$305,MATCH(34,Register!$AI$6:$AI$305,0)))</f>
        <v/>
      </c>
      <c r="D51" s="28">
        <f>IF($A51="","",INDEX(Register!$D$6:$D$305,MATCH(34,Register!$AI$6:$AI$305,0)))</f>
        <v/>
      </c>
      <c r="E51" s="32">
        <f>IF($A51="","",IF($C51="Program",INDEX(Register!$V$6:$V$305,MATCH(34,Register!$AI$6:$AI$305,0)),IF(INDEX(Register!$J$6:$J$305,MATCH(34,Register!$AI$6:$AI$305,0))="","",INDEX(Register!$J$6:$J$305,MATCH(34,Register!$AI$6:$AI$305,0)))))</f>
        <v/>
      </c>
      <c r="F51" s="32">
        <f>IF(OR($B51="",$E51=""),"",$E51-$B51)</f>
        <v/>
      </c>
    </row>
    <row r="52">
      <c r="A52" s="28">
        <f>IFERROR(INDEX(Register!$A$6:$A$305,MATCH(35,Register!$AI$6:$AI$305,0)),"")</f>
        <v/>
      </c>
      <c r="B52" s="32">
        <f>IF($A52="","",IF(INDEX(Register!$K$6:$K$305,MATCH(35,Register!$AI$6:$AI$305,0))="","",INDEX(Register!$K$6:$K$305,MATCH(35,Register!$AI$6:$AI$305,0))))</f>
        <v/>
      </c>
      <c r="C52" s="28">
        <f>IF($A52="","",INDEX(Register!$B$6:$B$305,MATCH(35,Register!$AI$6:$AI$305,0)))</f>
        <v/>
      </c>
      <c r="D52" s="28">
        <f>IF($A52="","",INDEX(Register!$D$6:$D$305,MATCH(35,Register!$AI$6:$AI$305,0)))</f>
        <v/>
      </c>
      <c r="E52" s="32">
        <f>IF($A52="","",IF($C52="Program",INDEX(Register!$V$6:$V$305,MATCH(35,Register!$AI$6:$AI$305,0)),IF(INDEX(Register!$J$6:$J$305,MATCH(35,Register!$AI$6:$AI$305,0))="","",INDEX(Register!$J$6:$J$305,MATCH(35,Register!$AI$6:$AI$305,0)))))</f>
        <v/>
      </c>
      <c r="F52" s="32">
        <f>IF(OR($B52="",$E52=""),"",$E52-$B52)</f>
        <v/>
      </c>
    </row>
    <row r="53">
      <c r="A53" s="28">
        <f>IFERROR(INDEX(Register!$A$6:$A$305,MATCH(36,Register!$AI$6:$AI$305,0)),"")</f>
        <v/>
      </c>
      <c r="B53" s="32">
        <f>IF($A53="","",IF(INDEX(Register!$K$6:$K$305,MATCH(36,Register!$AI$6:$AI$305,0))="","",INDEX(Register!$K$6:$K$305,MATCH(36,Register!$AI$6:$AI$305,0))))</f>
        <v/>
      </c>
      <c r="C53" s="28">
        <f>IF($A53="","",INDEX(Register!$B$6:$B$305,MATCH(36,Register!$AI$6:$AI$305,0)))</f>
        <v/>
      </c>
      <c r="D53" s="28">
        <f>IF($A53="","",INDEX(Register!$D$6:$D$305,MATCH(36,Register!$AI$6:$AI$305,0)))</f>
        <v/>
      </c>
      <c r="E53" s="32">
        <f>IF($A53="","",IF($C53="Program",INDEX(Register!$V$6:$V$305,MATCH(36,Register!$AI$6:$AI$305,0)),IF(INDEX(Register!$J$6:$J$305,MATCH(36,Register!$AI$6:$AI$305,0))="","",INDEX(Register!$J$6:$J$305,MATCH(36,Register!$AI$6:$AI$305,0)))))</f>
        <v/>
      </c>
      <c r="F53" s="32">
        <f>IF(OR($B53="",$E53=""),"",$E53-$B53)</f>
        <v/>
      </c>
    </row>
    <row r="54">
      <c r="A54" s="28">
        <f>IFERROR(INDEX(Register!$A$6:$A$305,MATCH(37,Register!$AI$6:$AI$305,0)),"")</f>
        <v/>
      </c>
      <c r="B54" s="32">
        <f>IF($A54="","",IF(INDEX(Register!$K$6:$K$305,MATCH(37,Register!$AI$6:$AI$305,0))="","",INDEX(Register!$K$6:$K$305,MATCH(37,Register!$AI$6:$AI$305,0))))</f>
        <v/>
      </c>
      <c r="C54" s="28">
        <f>IF($A54="","",INDEX(Register!$B$6:$B$305,MATCH(37,Register!$AI$6:$AI$305,0)))</f>
        <v/>
      </c>
      <c r="D54" s="28">
        <f>IF($A54="","",INDEX(Register!$D$6:$D$305,MATCH(37,Register!$AI$6:$AI$305,0)))</f>
        <v/>
      </c>
      <c r="E54" s="32">
        <f>IF($A54="","",IF($C54="Program",INDEX(Register!$V$6:$V$305,MATCH(37,Register!$AI$6:$AI$305,0)),IF(INDEX(Register!$J$6:$J$305,MATCH(37,Register!$AI$6:$AI$305,0))="","",INDEX(Register!$J$6:$J$305,MATCH(37,Register!$AI$6:$AI$305,0)))))</f>
        <v/>
      </c>
      <c r="F54" s="32">
        <f>IF(OR($B54="",$E54=""),"",$E54-$B54)</f>
        <v/>
      </c>
    </row>
    <row r="55">
      <c r="A55" s="28">
        <f>IFERROR(INDEX(Register!$A$6:$A$305,MATCH(38,Register!$AI$6:$AI$305,0)),"")</f>
        <v/>
      </c>
      <c r="B55" s="32">
        <f>IF($A55="","",IF(INDEX(Register!$K$6:$K$305,MATCH(38,Register!$AI$6:$AI$305,0))="","",INDEX(Register!$K$6:$K$305,MATCH(38,Register!$AI$6:$AI$305,0))))</f>
        <v/>
      </c>
      <c r="C55" s="28">
        <f>IF($A55="","",INDEX(Register!$B$6:$B$305,MATCH(38,Register!$AI$6:$AI$305,0)))</f>
        <v/>
      </c>
      <c r="D55" s="28">
        <f>IF($A55="","",INDEX(Register!$D$6:$D$305,MATCH(38,Register!$AI$6:$AI$305,0)))</f>
        <v/>
      </c>
      <c r="E55" s="32">
        <f>IF($A55="","",IF($C55="Program",INDEX(Register!$V$6:$V$305,MATCH(38,Register!$AI$6:$AI$305,0)),IF(INDEX(Register!$J$6:$J$305,MATCH(38,Register!$AI$6:$AI$305,0))="","",INDEX(Register!$J$6:$J$305,MATCH(38,Register!$AI$6:$AI$305,0)))))</f>
        <v/>
      </c>
      <c r="F55" s="32">
        <f>IF(OR($B55="",$E55=""),"",$E55-$B55)</f>
        <v/>
      </c>
    </row>
    <row r="56">
      <c r="A56" s="28">
        <f>IFERROR(INDEX(Register!$A$6:$A$305,MATCH(39,Register!$AI$6:$AI$305,0)),"")</f>
        <v/>
      </c>
      <c r="B56" s="32">
        <f>IF($A56="","",IF(INDEX(Register!$K$6:$K$305,MATCH(39,Register!$AI$6:$AI$305,0))="","",INDEX(Register!$K$6:$K$305,MATCH(39,Register!$AI$6:$AI$305,0))))</f>
        <v/>
      </c>
      <c r="C56" s="28">
        <f>IF($A56="","",INDEX(Register!$B$6:$B$305,MATCH(39,Register!$AI$6:$AI$305,0)))</f>
        <v/>
      </c>
      <c r="D56" s="28">
        <f>IF($A56="","",INDEX(Register!$D$6:$D$305,MATCH(39,Register!$AI$6:$AI$305,0)))</f>
        <v/>
      </c>
      <c r="E56" s="32">
        <f>IF($A56="","",IF($C56="Program",INDEX(Register!$V$6:$V$305,MATCH(39,Register!$AI$6:$AI$305,0)),IF(INDEX(Register!$J$6:$J$305,MATCH(39,Register!$AI$6:$AI$305,0))="","",INDEX(Register!$J$6:$J$305,MATCH(39,Register!$AI$6:$AI$305,0)))))</f>
        <v/>
      </c>
      <c r="F56" s="32">
        <f>IF(OR($B56="",$E56=""),"",$E56-$B56)</f>
        <v/>
      </c>
    </row>
    <row r="57">
      <c r="A57" s="28">
        <f>IFERROR(INDEX(Register!$A$6:$A$305,MATCH(40,Register!$AI$6:$AI$305,0)),"")</f>
        <v/>
      </c>
      <c r="B57" s="32">
        <f>IF($A57="","",IF(INDEX(Register!$K$6:$K$305,MATCH(40,Register!$AI$6:$AI$305,0))="","",INDEX(Register!$K$6:$K$305,MATCH(40,Register!$AI$6:$AI$305,0))))</f>
        <v/>
      </c>
      <c r="C57" s="28">
        <f>IF($A57="","",INDEX(Register!$B$6:$B$305,MATCH(40,Register!$AI$6:$AI$305,0)))</f>
        <v/>
      </c>
      <c r="D57" s="28">
        <f>IF($A57="","",INDEX(Register!$D$6:$D$305,MATCH(40,Register!$AI$6:$AI$305,0)))</f>
        <v/>
      </c>
      <c r="E57" s="32">
        <f>IF($A57="","",IF($C57="Program",INDEX(Register!$V$6:$V$305,MATCH(40,Register!$AI$6:$AI$305,0)),IF(INDEX(Register!$J$6:$J$305,MATCH(40,Register!$AI$6:$AI$305,0))="","",INDEX(Register!$J$6:$J$305,MATCH(40,Register!$AI$6:$AI$305,0)))))</f>
        <v/>
      </c>
      <c r="F57" s="32">
        <f>IF(OR($B57="",$E57=""),"",$E57-$B57)</f>
        <v/>
      </c>
    </row>
    <row r="58">
      <c r="A58" s="28">
        <f>IFERROR(INDEX(Register!$A$6:$A$305,MATCH(41,Register!$AI$6:$AI$305,0)),"")</f>
        <v/>
      </c>
      <c r="B58" s="32">
        <f>IF($A58="","",IF(INDEX(Register!$K$6:$K$305,MATCH(41,Register!$AI$6:$AI$305,0))="","",INDEX(Register!$K$6:$K$305,MATCH(41,Register!$AI$6:$AI$305,0))))</f>
        <v/>
      </c>
      <c r="C58" s="28">
        <f>IF($A58="","",INDEX(Register!$B$6:$B$305,MATCH(41,Register!$AI$6:$AI$305,0)))</f>
        <v/>
      </c>
      <c r="D58" s="28">
        <f>IF($A58="","",INDEX(Register!$D$6:$D$305,MATCH(41,Register!$AI$6:$AI$305,0)))</f>
        <v/>
      </c>
      <c r="E58" s="32">
        <f>IF($A58="","",IF($C58="Program",INDEX(Register!$V$6:$V$305,MATCH(41,Register!$AI$6:$AI$305,0)),IF(INDEX(Register!$J$6:$J$305,MATCH(41,Register!$AI$6:$AI$305,0))="","",INDEX(Register!$J$6:$J$305,MATCH(41,Register!$AI$6:$AI$305,0)))))</f>
        <v/>
      </c>
      <c r="F58" s="32">
        <f>IF(OR($B58="",$E58=""),"",$E58-$B58)</f>
        <v/>
      </c>
    </row>
    <row r="59">
      <c r="A59" s="28">
        <f>IFERROR(INDEX(Register!$A$6:$A$305,MATCH(42,Register!$AI$6:$AI$305,0)),"")</f>
        <v/>
      </c>
      <c r="B59" s="32">
        <f>IF($A59="","",IF(INDEX(Register!$K$6:$K$305,MATCH(42,Register!$AI$6:$AI$305,0))="","",INDEX(Register!$K$6:$K$305,MATCH(42,Register!$AI$6:$AI$305,0))))</f>
        <v/>
      </c>
      <c r="C59" s="28">
        <f>IF($A59="","",INDEX(Register!$B$6:$B$305,MATCH(42,Register!$AI$6:$AI$305,0)))</f>
        <v/>
      </c>
      <c r="D59" s="28">
        <f>IF($A59="","",INDEX(Register!$D$6:$D$305,MATCH(42,Register!$AI$6:$AI$305,0)))</f>
        <v/>
      </c>
      <c r="E59" s="32">
        <f>IF($A59="","",IF($C59="Program",INDEX(Register!$V$6:$V$305,MATCH(42,Register!$AI$6:$AI$305,0)),IF(INDEX(Register!$J$6:$J$305,MATCH(42,Register!$AI$6:$AI$305,0))="","",INDEX(Register!$J$6:$J$305,MATCH(42,Register!$AI$6:$AI$305,0)))))</f>
        <v/>
      </c>
      <c r="F59" s="32">
        <f>IF(OR($B59="",$E59=""),"",$E59-$B59)</f>
        <v/>
      </c>
    </row>
    <row r="60">
      <c r="A60" s="28">
        <f>IFERROR(INDEX(Register!$A$6:$A$305,MATCH(43,Register!$AI$6:$AI$305,0)),"")</f>
        <v/>
      </c>
      <c r="B60" s="32">
        <f>IF($A60="","",IF(INDEX(Register!$K$6:$K$305,MATCH(43,Register!$AI$6:$AI$305,0))="","",INDEX(Register!$K$6:$K$305,MATCH(43,Register!$AI$6:$AI$305,0))))</f>
        <v/>
      </c>
      <c r="C60" s="28">
        <f>IF($A60="","",INDEX(Register!$B$6:$B$305,MATCH(43,Register!$AI$6:$AI$305,0)))</f>
        <v/>
      </c>
      <c r="D60" s="28">
        <f>IF($A60="","",INDEX(Register!$D$6:$D$305,MATCH(43,Register!$AI$6:$AI$305,0)))</f>
        <v/>
      </c>
      <c r="E60" s="32">
        <f>IF($A60="","",IF($C60="Program",INDEX(Register!$V$6:$V$305,MATCH(43,Register!$AI$6:$AI$305,0)),IF(INDEX(Register!$J$6:$J$305,MATCH(43,Register!$AI$6:$AI$305,0))="","",INDEX(Register!$J$6:$J$305,MATCH(43,Register!$AI$6:$AI$305,0)))))</f>
        <v/>
      </c>
      <c r="F60" s="32">
        <f>IF(OR($B60="",$E60=""),"",$E60-$B60)</f>
        <v/>
      </c>
    </row>
    <row r="61">
      <c r="A61" s="28">
        <f>IFERROR(INDEX(Register!$A$6:$A$305,MATCH(44,Register!$AI$6:$AI$305,0)),"")</f>
        <v/>
      </c>
      <c r="B61" s="32">
        <f>IF($A61="","",IF(INDEX(Register!$K$6:$K$305,MATCH(44,Register!$AI$6:$AI$305,0))="","",INDEX(Register!$K$6:$K$305,MATCH(44,Register!$AI$6:$AI$305,0))))</f>
        <v/>
      </c>
      <c r="C61" s="28">
        <f>IF($A61="","",INDEX(Register!$B$6:$B$305,MATCH(44,Register!$AI$6:$AI$305,0)))</f>
        <v/>
      </c>
      <c r="D61" s="28">
        <f>IF($A61="","",INDEX(Register!$D$6:$D$305,MATCH(44,Register!$AI$6:$AI$305,0)))</f>
        <v/>
      </c>
      <c r="E61" s="32">
        <f>IF($A61="","",IF($C61="Program",INDEX(Register!$V$6:$V$305,MATCH(44,Register!$AI$6:$AI$305,0)),IF(INDEX(Register!$J$6:$J$305,MATCH(44,Register!$AI$6:$AI$305,0))="","",INDEX(Register!$J$6:$J$305,MATCH(44,Register!$AI$6:$AI$305,0)))))</f>
        <v/>
      </c>
      <c r="F61" s="32">
        <f>IF(OR($B61="",$E61=""),"",$E61-$B61)</f>
        <v/>
      </c>
    </row>
    <row r="62">
      <c r="A62" s="28">
        <f>IFERROR(INDEX(Register!$A$6:$A$305,MATCH(45,Register!$AI$6:$AI$305,0)),"")</f>
        <v/>
      </c>
      <c r="B62" s="32">
        <f>IF($A62="","",IF(INDEX(Register!$K$6:$K$305,MATCH(45,Register!$AI$6:$AI$305,0))="","",INDEX(Register!$K$6:$K$305,MATCH(45,Register!$AI$6:$AI$305,0))))</f>
        <v/>
      </c>
      <c r="C62" s="28">
        <f>IF($A62="","",INDEX(Register!$B$6:$B$305,MATCH(45,Register!$AI$6:$AI$305,0)))</f>
        <v/>
      </c>
      <c r="D62" s="28">
        <f>IF($A62="","",INDEX(Register!$D$6:$D$305,MATCH(45,Register!$AI$6:$AI$305,0)))</f>
        <v/>
      </c>
      <c r="E62" s="32">
        <f>IF($A62="","",IF($C62="Program",INDEX(Register!$V$6:$V$305,MATCH(45,Register!$AI$6:$AI$305,0)),IF(INDEX(Register!$J$6:$J$305,MATCH(45,Register!$AI$6:$AI$305,0))="","",INDEX(Register!$J$6:$J$305,MATCH(45,Register!$AI$6:$AI$305,0)))))</f>
        <v/>
      </c>
      <c r="F62" s="32">
        <f>IF(OR($B62="",$E62=""),"",$E62-$B62)</f>
        <v/>
      </c>
    </row>
    <row r="63">
      <c r="A63" s="28">
        <f>IFERROR(INDEX(Register!$A$6:$A$305,MATCH(46,Register!$AI$6:$AI$305,0)),"")</f>
        <v/>
      </c>
      <c r="B63" s="32">
        <f>IF($A63="","",IF(INDEX(Register!$K$6:$K$305,MATCH(46,Register!$AI$6:$AI$305,0))="","",INDEX(Register!$K$6:$K$305,MATCH(46,Register!$AI$6:$AI$305,0))))</f>
        <v/>
      </c>
      <c r="C63" s="28">
        <f>IF($A63="","",INDEX(Register!$B$6:$B$305,MATCH(46,Register!$AI$6:$AI$305,0)))</f>
        <v/>
      </c>
      <c r="D63" s="28">
        <f>IF($A63="","",INDEX(Register!$D$6:$D$305,MATCH(46,Register!$AI$6:$AI$305,0)))</f>
        <v/>
      </c>
      <c r="E63" s="32">
        <f>IF($A63="","",IF($C63="Program",INDEX(Register!$V$6:$V$305,MATCH(46,Register!$AI$6:$AI$305,0)),IF(INDEX(Register!$J$6:$J$305,MATCH(46,Register!$AI$6:$AI$305,0))="","",INDEX(Register!$J$6:$J$305,MATCH(46,Register!$AI$6:$AI$305,0)))))</f>
        <v/>
      </c>
      <c r="F63" s="32">
        <f>IF(OR($B63="",$E63=""),"",$E63-$B63)</f>
        <v/>
      </c>
    </row>
    <row r="64">
      <c r="A64" s="28">
        <f>IFERROR(INDEX(Register!$A$6:$A$305,MATCH(47,Register!$AI$6:$AI$305,0)),"")</f>
        <v/>
      </c>
      <c r="B64" s="32">
        <f>IF($A64="","",IF(INDEX(Register!$K$6:$K$305,MATCH(47,Register!$AI$6:$AI$305,0))="","",INDEX(Register!$K$6:$K$305,MATCH(47,Register!$AI$6:$AI$305,0))))</f>
        <v/>
      </c>
      <c r="C64" s="28">
        <f>IF($A64="","",INDEX(Register!$B$6:$B$305,MATCH(47,Register!$AI$6:$AI$305,0)))</f>
        <v/>
      </c>
      <c r="D64" s="28">
        <f>IF($A64="","",INDEX(Register!$D$6:$D$305,MATCH(47,Register!$AI$6:$AI$305,0)))</f>
        <v/>
      </c>
      <c r="E64" s="32">
        <f>IF($A64="","",IF($C64="Program",INDEX(Register!$V$6:$V$305,MATCH(47,Register!$AI$6:$AI$305,0)),IF(INDEX(Register!$J$6:$J$305,MATCH(47,Register!$AI$6:$AI$305,0))="","",INDEX(Register!$J$6:$J$305,MATCH(47,Register!$AI$6:$AI$305,0)))))</f>
        <v/>
      </c>
      <c r="F64" s="32">
        <f>IF(OR($B64="",$E64=""),"",$E64-$B64)</f>
        <v/>
      </c>
    </row>
    <row r="65">
      <c r="A65" s="28">
        <f>IFERROR(INDEX(Register!$A$6:$A$305,MATCH(48,Register!$AI$6:$AI$305,0)),"")</f>
        <v/>
      </c>
      <c r="B65" s="32">
        <f>IF($A65="","",IF(INDEX(Register!$K$6:$K$305,MATCH(48,Register!$AI$6:$AI$305,0))="","",INDEX(Register!$K$6:$K$305,MATCH(48,Register!$AI$6:$AI$305,0))))</f>
        <v/>
      </c>
      <c r="C65" s="28">
        <f>IF($A65="","",INDEX(Register!$B$6:$B$305,MATCH(48,Register!$AI$6:$AI$305,0)))</f>
        <v/>
      </c>
      <c r="D65" s="28">
        <f>IF($A65="","",INDEX(Register!$D$6:$D$305,MATCH(48,Register!$AI$6:$AI$305,0)))</f>
        <v/>
      </c>
      <c r="E65" s="32">
        <f>IF($A65="","",IF($C65="Program",INDEX(Register!$V$6:$V$305,MATCH(48,Register!$AI$6:$AI$305,0)),IF(INDEX(Register!$J$6:$J$305,MATCH(48,Register!$AI$6:$AI$305,0))="","",INDEX(Register!$J$6:$J$305,MATCH(48,Register!$AI$6:$AI$305,0)))))</f>
        <v/>
      </c>
      <c r="F65" s="32">
        <f>IF(OR($B65="",$E65=""),"",$E65-$B65)</f>
        <v/>
      </c>
    </row>
    <row r="66">
      <c r="A66" s="28">
        <f>IFERROR(INDEX(Register!$A$6:$A$305,MATCH(49,Register!$AI$6:$AI$305,0)),"")</f>
        <v/>
      </c>
      <c r="B66" s="32">
        <f>IF($A66="","",IF(INDEX(Register!$K$6:$K$305,MATCH(49,Register!$AI$6:$AI$305,0))="","",INDEX(Register!$K$6:$K$305,MATCH(49,Register!$AI$6:$AI$305,0))))</f>
        <v/>
      </c>
      <c r="C66" s="28">
        <f>IF($A66="","",INDEX(Register!$B$6:$B$305,MATCH(49,Register!$AI$6:$AI$305,0)))</f>
        <v/>
      </c>
      <c r="D66" s="28">
        <f>IF($A66="","",INDEX(Register!$D$6:$D$305,MATCH(49,Register!$AI$6:$AI$305,0)))</f>
        <v/>
      </c>
      <c r="E66" s="32">
        <f>IF($A66="","",IF($C66="Program",INDEX(Register!$V$6:$V$305,MATCH(49,Register!$AI$6:$AI$305,0)),IF(INDEX(Register!$J$6:$J$305,MATCH(49,Register!$AI$6:$AI$305,0))="","",INDEX(Register!$J$6:$J$305,MATCH(49,Register!$AI$6:$AI$305,0)))))</f>
        <v/>
      </c>
      <c r="F66" s="32">
        <f>IF(OR($B66="",$E66=""),"",$E66-$B66)</f>
        <v/>
      </c>
    </row>
    <row r="67">
      <c r="A67" s="28">
        <f>IFERROR(INDEX(Register!$A$6:$A$305,MATCH(50,Register!$AI$6:$AI$305,0)),"")</f>
        <v/>
      </c>
      <c r="B67" s="32">
        <f>IF($A67="","",IF(INDEX(Register!$K$6:$K$305,MATCH(50,Register!$AI$6:$AI$305,0))="","",INDEX(Register!$K$6:$K$305,MATCH(50,Register!$AI$6:$AI$305,0))))</f>
        <v/>
      </c>
      <c r="C67" s="28">
        <f>IF($A67="","",INDEX(Register!$B$6:$B$305,MATCH(50,Register!$AI$6:$AI$305,0)))</f>
        <v/>
      </c>
      <c r="D67" s="28">
        <f>IF($A67="","",INDEX(Register!$D$6:$D$305,MATCH(50,Register!$AI$6:$AI$305,0)))</f>
        <v/>
      </c>
      <c r="E67" s="32">
        <f>IF($A67="","",IF($C67="Program",INDEX(Register!$V$6:$V$305,MATCH(50,Register!$AI$6:$AI$305,0)),IF(INDEX(Register!$J$6:$J$305,MATCH(50,Register!$AI$6:$AI$305,0))="","",INDEX(Register!$J$6:$J$305,MATCH(50,Register!$AI$6:$AI$305,0)))))</f>
        <v/>
      </c>
      <c r="F67" s="32">
        <f>IF(OR($B67="",$E67=""),"",$E67-$B67)</f>
        <v/>
      </c>
    </row>
    <row r="68">
      <c r="A68" s="28">
        <f>IFERROR(INDEX(Register!$A$6:$A$305,MATCH(51,Register!$AI$6:$AI$305,0)),"")</f>
        <v/>
      </c>
      <c r="B68" s="32">
        <f>IF($A68="","",IF(INDEX(Register!$K$6:$K$305,MATCH(51,Register!$AI$6:$AI$305,0))="","",INDEX(Register!$K$6:$K$305,MATCH(51,Register!$AI$6:$AI$305,0))))</f>
        <v/>
      </c>
      <c r="C68" s="28">
        <f>IF($A68="","",INDEX(Register!$B$6:$B$305,MATCH(51,Register!$AI$6:$AI$305,0)))</f>
        <v/>
      </c>
      <c r="D68" s="28">
        <f>IF($A68="","",INDEX(Register!$D$6:$D$305,MATCH(51,Register!$AI$6:$AI$305,0)))</f>
        <v/>
      </c>
      <c r="E68" s="32">
        <f>IF($A68="","",IF($C68="Program",INDEX(Register!$V$6:$V$305,MATCH(51,Register!$AI$6:$AI$305,0)),IF(INDEX(Register!$J$6:$J$305,MATCH(51,Register!$AI$6:$AI$305,0))="","",INDEX(Register!$J$6:$J$305,MATCH(51,Register!$AI$6:$AI$305,0)))))</f>
        <v/>
      </c>
      <c r="F68" s="32">
        <f>IF(OR($B68="",$E68=""),"",$E68-$B68)</f>
        <v/>
      </c>
    </row>
    <row r="69">
      <c r="A69" s="28">
        <f>IFERROR(INDEX(Register!$A$6:$A$305,MATCH(52,Register!$AI$6:$AI$305,0)),"")</f>
        <v/>
      </c>
      <c r="B69" s="32">
        <f>IF($A69="","",IF(INDEX(Register!$K$6:$K$305,MATCH(52,Register!$AI$6:$AI$305,0))="","",INDEX(Register!$K$6:$K$305,MATCH(52,Register!$AI$6:$AI$305,0))))</f>
        <v/>
      </c>
      <c r="C69" s="28">
        <f>IF($A69="","",INDEX(Register!$B$6:$B$305,MATCH(52,Register!$AI$6:$AI$305,0)))</f>
        <v/>
      </c>
      <c r="D69" s="28">
        <f>IF($A69="","",INDEX(Register!$D$6:$D$305,MATCH(52,Register!$AI$6:$AI$305,0)))</f>
        <v/>
      </c>
      <c r="E69" s="32">
        <f>IF($A69="","",IF($C69="Program",INDEX(Register!$V$6:$V$305,MATCH(52,Register!$AI$6:$AI$305,0)),IF(INDEX(Register!$J$6:$J$305,MATCH(52,Register!$AI$6:$AI$305,0))="","",INDEX(Register!$J$6:$J$305,MATCH(52,Register!$AI$6:$AI$305,0)))))</f>
        <v/>
      </c>
      <c r="F69" s="32">
        <f>IF(OR($B69="",$E69=""),"",$E69-$B69)</f>
        <v/>
      </c>
    </row>
    <row r="70">
      <c r="A70" s="28">
        <f>IFERROR(INDEX(Register!$A$6:$A$305,MATCH(53,Register!$AI$6:$AI$305,0)),"")</f>
        <v/>
      </c>
      <c r="B70" s="32">
        <f>IF($A70="","",IF(INDEX(Register!$K$6:$K$305,MATCH(53,Register!$AI$6:$AI$305,0))="","",INDEX(Register!$K$6:$K$305,MATCH(53,Register!$AI$6:$AI$305,0))))</f>
        <v/>
      </c>
      <c r="C70" s="28">
        <f>IF($A70="","",INDEX(Register!$B$6:$B$305,MATCH(53,Register!$AI$6:$AI$305,0)))</f>
        <v/>
      </c>
      <c r="D70" s="28">
        <f>IF($A70="","",INDEX(Register!$D$6:$D$305,MATCH(53,Register!$AI$6:$AI$305,0)))</f>
        <v/>
      </c>
      <c r="E70" s="32">
        <f>IF($A70="","",IF($C70="Program",INDEX(Register!$V$6:$V$305,MATCH(53,Register!$AI$6:$AI$305,0)),IF(INDEX(Register!$J$6:$J$305,MATCH(53,Register!$AI$6:$AI$305,0))="","",INDEX(Register!$J$6:$J$305,MATCH(53,Register!$AI$6:$AI$305,0)))))</f>
        <v/>
      </c>
      <c r="F70" s="32">
        <f>IF(OR($B70="",$E70=""),"",$E70-$B70)</f>
        <v/>
      </c>
    </row>
    <row r="71">
      <c r="A71" s="28">
        <f>IFERROR(INDEX(Register!$A$6:$A$305,MATCH(54,Register!$AI$6:$AI$305,0)),"")</f>
        <v/>
      </c>
      <c r="B71" s="32">
        <f>IF($A71="","",IF(INDEX(Register!$K$6:$K$305,MATCH(54,Register!$AI$6:$AI$305,0))="","",INDEX(Register!$K$6:$K$305,MATCH(54,Register!$AI$6:$AI$305,0))))</f>
        <v/>
      </c>
      <c r="C71" s="28">
        <f>IF($A71="","",INDEX(Register!$B$6:$B$305,MATCH(54,Register!$AI$6:$AI$305,0)))</f>
        <v/>
      </c>
      <c r="D71" s="28">
        <f>IF($A71="","",INDEX(Register!$D$6:$D$305,MATCH(54,Register!$AI$6:$AI$305,0)))</f>
        <v/>
      </c>
      <c r="E71" s="32">
        <f>IF($A71="","",IF($C71="Program",INDEX(Register!$V$6:$V$305,MATCH(54,Register!$AI$6:$AI$305,0)),IF(INDEX(Register!$J$6:$J$305,MATCH(54,Register!$AI$6:$AI$305,0))="","",INDEX(Register!$J$6:$J$305,MATCH(54,Register!$AI$6:$AI$305,0)))))</f>
        <v/>
      </c>
      <c r="F71" s="32">
        <f>IF(OR($B71="",$E71=""),"",$E71-$B71)</f>
        <v/>
      </c>
    </row>
    <row r="72">
      <c r="A72" s="28">
        <f>IFERROR(INDEX(Register!$A$6:$A$305,MATCH(55,Register!$AI$6:$AI$305,0)),"")</f>
        <v/>
      </c>
      <c r="B72" s="32">
        <f>IF($A72="","",IF(INDEX(Register!$K$6:$K$305,MATCH(55,Register!$AI$6:$AI$305,0))="","",INDEX(Register!$K$6:$K$305,MATCH(55,Register!$AI$6:$AI$305,0))))</f>
        <v/>
      </c>
      <c r="C72" s="28">
        <f>IF($A72="","",INDEX(Register!$B$6:$B$305,MATCH(55,Register!$AI$6:$AI$305,0)))</f>
        <v/>
      </c>
      <c r="D72" s="28">
        <f>IF($A72="","",INDEX(Register!$D$6:$D$305,MATCH(55,Register!$AI$6:$AI$305,0)))</f>
        <v/>
      </c>
      <c r="E72" s="32">
        <f>IF($A72="","",IF($C72="Program",INDEX(Register!$V$6:$V$305,MATCH(55,Register!$AI$6:$AI$305,0)),IF(INDEX(Register!$J$6:$J$305,MATCH(55,Register!$AI$6:$AI$305,0))="","",INDEX(Register!$J$6:$J$305,MATCH(55,Register!$AI$6:$AI$305,0)))))</f>
        <v/>
      </c>
      <c r="F72" s="32">
        <f>IF(OR($B72="",$E72=""),"",$E72-$B72)</f>
        <v/>
      </c>
    </row>
    <row r="73">
      <c r="A73" s="28">
        <f>IFERROR(INDEX(Register!$A$6:$A$305,MATCH(56,Register!$AI$6:$AI$305,0)),"")</f>
        <v/>
      </c>
      <c r="B73" s="32">
        <f>IF($A73="","",IF(INDEX(Register!$K$6:$K$305,MATCH(56,Register!$AI$6:$AI$305,0))="","",INDEX(Register!$K$6:$K$305,MATCH(56,Register!$AI$6:$AI$305,0))))</f>
        <v/>
      </c>
      <c r="C73" s="28">
        <f>IF($A73="","",INDEX(Register!$B$6:$B$305,MATCH(56,Register!$AI$6:$AI$305,0)))</f>
        <v/>
      </c>
      <c r="D73" s="28">
        <f>IF($A73="","",INDEX(Register!$D$6:$D$305,MATCH(56,Register!$AI$6:$AI$305,0)))</f>
        <v/>
      </c>
      <c r="E73" s="32">
        <f>IF($A73="","",IF($C73="Program",INDEX(Register!$V$6:$V$305,MATCH(56,Register!$AI$6:$AI$305,0)),IF(INDEX(Register!$J$6:$J$305,MATCH(56,Register!$AI$6:$AI$305,0))="","",INDEX(Register!$J$6:$J$305,MATCH(56,Register!$AI$6:$AI$305,0)))))</f>
        <v/>
      </c>
      <c r="F73" s="32">
        <f>IF(OR($B73="",$E73=""),"",$E73-$B73)</f>
        <v/>
      </c>
    </row>
    <row r="74">
      <c r="A74" s="28">
        <f>IFERROR(INDEX(Register!$A$6:$A$305,MATCH(57,Register!$AI$6:$AI$305,0)),"")</f>
        <v/>
      </c>
      <c r="B74" s="32">
        <f>IF($A74="","",IF(INDEX(Register!$K$6:$K$305,MATCH(57,Register!$AI$6:$AI$305,0))="","",INDEX(Register!$K$6:$K$305,MATCH(57,Register!$AI$6:$AI$305,0))))</f>
        <v/>
      </c>
      <c r="C74" s="28">
        <f>IF($A74="","",INDEX(Register!$B$6:$B$305,MATCH(57,Register!$AI$6:$AI$305,0)))</f>
        <v/>
      </c>
      <c r="D74" s="28">
        <f>IF($A74="","",INDEX(Register!$D$6:$D$305,MATCH(57,Register!$AI$6:$AI$305,0)))</f>
        <v/>
      </c>
      <c r="E74" s="32">
        <f>IF($A74="","",IF($C74="Program",INDEX(Register!$V$6:$V$305,MATCH(57,Register!$AI$6:$AI$305,0)),IF(INDEX(Register!$J$6:$J$305,MATCH(57,Register!$AI$6:$AI$305,0))="","",INDEX(Register!$J$6:$J$305,MATCH(57,Register!$AI$6:$AI$305,0)))))</f>
        <v/>
      </c>
      <c r="F74" s="32">
        <f>IF(OR($B74="",$E74=""),"",$E74-$B74)</f>
        <v/>
      </c>
    </row>
    <row r="75">
      <c r="A75" s="28">
        <f>IFERROR(INDEX(Register!$A$6:$A$305,MATCH(58,Register!$AI$6:$AI$305,0)),"")</f>
        <v/>
      </c>
      <c r="B75" s="32">
        <f>IF($A75="","",IF(INDEX(Register!$K$6:$K$305,MATCH(58,Register!$AI$6:$AI$305,0))="","",INDEX(Register!$K$6:$K$305,MATCH(58,Register!$AI$6:$AI$305,0))))</f>
        <v/>
      </c>
      <c r="C75" s="28">
        <f>IF($A75="","",INDEX(Register!$B$6:$B$305,MATCH(58,Register!$AI$6:$AI$305,0)))</f>
        <v/>
      </c>
      <c r="D75" s="28">
        <f>IF($A75="","",INDEX(Register!$D$6:$D$305,MATCH(58,Register!$AI$6:$AI$305,0)))</f>
        <v/>
      </c>
      <c r="E75" s="32">
        <f>IF($A75="","",IF($C75="Program",INDEX(Register!$V$6:$V$305,MATCH(58,Register!$AI$6:$AI$305,0)),IF(INDEX(Register!$J$6:$J$305,MATCH(58,Register!$AI$6:$AI$305,0))="","",INDEX(Register!$J$6:$J$305,MATCH(58,Register!$AI$6:$AI$305,0)))))</f>
        <v/>
      </c>
      <c r="F75" s="32">
        <f>IF(OR($B75="",$E75=""),"",$E75-$B75)</f>
        <v/>
      </c>
    </row>
    <row r="76">
      <c r="A76" s="28">
        <f>IFERROR(INDEX(Register!$A$6:$A$305,MATCH(59,Register!$AI$6:$AI$305,0)),"")</f>
        <v/>
      </c>
      <c r="B76" s="32">
        <f>IF($A76="","",IF(INDEX(Register!$K$6:$K$305,MATCH(59,Register!$AI$6:$AI$305,0))="","",INDEX(Register!$K$6:$K$305,MATCH(59,Register!$AI$6:$AI$305,0))))</f>
        <v/>
      </c>
      <c r="C76" s="28">
        <f>IF($A76="","",INDEX(Register!$B$6:$B$305,MATCH(59,Register!$AI$6:$AI$305,0)))</f>
        <v/>
      </c>
      <c r="D76" s="28">
        <f>IF($A76="","",INDEX(Register!$D$6:$D$305,MATCH(59,Register!$AI$6:$AI$305,0)))</f>
        <v/>
      </c>
      <c r="E76" s="32">
        <f>IF($A76="","",IF($C76="Program",INDEX(Register!$V$6:$V$305,MATCH(59,Register!$AI$6:$AI$305,0)),IF(INDEX(Register!$J$6:$J$305,MATCH(59,Register!$AI$6:$AI$305,0))="","",INDEX(Register!$J$6:$J$305,MATCH(59,Register!$AI$6:$AI$305,0)))))</f>
        <v/>
      </c>
      <c r="F76" s="32">
        <f>IF(OR($B76="",$E76=""),"",$E76-$B76)</f>
        <v/>
      </c>
    </row>
    <row r="77">
      <c r="A77" s="28">
        <f>IFERROR(INDEX(Register!$A$6:$A$305,MATCH(60,Register!$AI$6:$AI$305,0)),"")</f>
        <v/>
      </c>
      <c r="B77" s="32">
        <f>IF($A77="","",IF(INDEX(Register!$K$6:$K$305,MATCH(60,Register!$AI$6:$AI$305,0))="","",INDEX(Register!$K$6:$K$305,MATCH(60,Register!$AI$6:$AI$305,0))))</f>
        <v/>
      </c>
      <c r="C77" s="28">
        <f>IF($A77="","",INDEX(Register!$B$6:$B$305,MATCH(60,Register!$AI$6:$AI$305,0)))</f>
        <v/>
      </c>
      <c r="D77" s="28">
        <f>IF($A77="","",INDEX(Register!$D$6:$D$305,MATCH(60,Register!$AI$6:$AI$305,0)))</f>
        <v/>
      </c>
      <c r="E77" s="32">
        <f>IF($A77="","",IF($C77="Program",INDEX(Register!$V$6:$V$305,MATCH(60,Register!$AI$6:$AI$305,0)),IF(INDEX(Register!$J$6:$J$305,MATCH(60,Register!$AI$6:$AI$305,0))="","",INDEX(Register!$J$6:$J$305,MATCH(60,Register!$AI$6:$AI$305,0)))))</f>
        <v/>
      </c>
      <c r="F77" s="32">
        <f>IF(OR($B77="",$E77=""),"",$E77-$B77)</f>
        <v/>
      </c>
    </row>
    <row r="78">
      <c r="A78" s="28">
        <f>IFERROR(INDEX(Register!$A$6:$A$305,MATCH(61,Register!$AI$6:$AI$305,0)),"")</f>
        <v/>
      </c>
      <c r="B78" s="32">
        <f>IF($A78="","",IF(INDEX(Register!$K$6:$K$305,MATCH(61,Register!$AI$6:$AI$305,0))="","",INDEX(Register!$K$6:$K$305,MATCH(61,Register!$AI$6:$AI$305,0))))</f>
        <v/>
      </c>
      <c r="C78" s="28">
        <f>IF($A78="","",INDEX(Register!$B$6:$B$305,MATCH(61,Register!$AI$6:$AI$305,0)))</f>
        <v/>
      </c>
      <c r="D78" s="28">
        <f>IF($A78="","",INDEX(Register!$D$6:$D$305,MATCH(61,Register!$AI$6:$AI$305,0)))</f>
        <v/>
      </c>
      <c r="E78" s="32">
        <f>IF($A78="","",IF($C78="Program",INDEX(Register!$V$6:$V$305,MATCH(61,Register!$AI$6:$AI$305,0)),IF(INDEX(Register!$J$6:$J$305,MATCH(61,Register!$AI$6:$AI$305,0))="","",INDEX(Register!$J$6:$J$305,MATCH(61,Register!$AI$6:$AI$305,0)))))</f>
        <v/>
      </c>
      <c r="F78" s="32">
        <f>IF(OR($B78="",$E78=""),"",$E78-$B78)</f>
        <v/>
      </c>
    </row>
    <row r="79">
      <c r="A79" s="28">
        <f>IFERROR(INDEX(Register!$A$6:$A$305,MATCH(62,Register!$AI$6:$AI$305,0)),"")</f>
        <v/>
      </c>
      <c r="B79" s="32">
        <f>IF($A79="","",IF(INDEX(Register!$K$6:$K$305,MATCH(62,Register!$AI$6:$AI$305,0))="","",INDEX(Register!$K$6:$K$305,MATCH(62,Register!$AI$6:$AI$305,0))))</f>
        <v/>
      </c>
      <c r="C79" s="28">
        <f>IF($A79="","",INDEX(Register!$B$6:$B$305,MATCH(62,Register!$AI$6:$AI$305,0)))</f>
        <v/>
      </c>
      <c r="D79" s="28">
        <f>IF($A79="","",INDEX(Register!$D$6:$D$305,MATCH(62,Register!$AI$6:$AI$305,0)))</f>
        <v/>
      </c>
      <c r="E79" s="32">
        <f>IF($A79="","",IF($C79="Program",INDEX(Register!$V$6:$V$305,MATCH(62,Register!$AI$6:$AI$305,0)),IF(INDEX(Register!$J$6:$J$305,MATCH(62,Register!$AI$6:$AI$305,0))="","",INDEX(Register!$J$6:$J$305,MATCH(62,Register!$AI$6:$AI$305,0)))))</f>
        <v/>
      </c>
      <c r="F79" s="32">
        <f>IF(OR($B79="",$E79=""),"",$E79-$B79)</f>
        <v/>
      </c>
    </row>
    <row r="80">
      <c r="A80" s="28">
        <f>IFERROR(INDEX(Register!$A$6:$A$305,MATCH(63,Register!$AI$6:$AI$305,0)),"")</f>
        <v/>
      </c>
      <c r="B80" s="32">
        <f>IF($A80="","",IF(INDEX(Register!$K$6:$K$305,MATCH(63,Register!$AI$6:$AI$305,0))="","",INDEX(Register!$K$6:$K$305,MATCH(63,Register!$AI$6:$AI$305,0))))</f>
        <v/>
      </c>
      <c r="C80" s="28">
        <f>IF($A80="","",INDEX(Register!$B$6:$B$305,MATCH(63,Register!$AI$6:$AI$305,0)))</f>
        <v/>
      </c>
      <c r="D80" s="28">
        <f>IF($A80="","",INDEX(Register!$D$6:$D$305,MATCH(63,Register!$AI$6:$AI$305,0)))</f>
        <v/>
      </c>
      <c r="E80" s="32">
        <f>IF($A80="","",IF($C80="Program",INDEX(Register!$V$6:$V$305,MATCH(63,Register!$AI$6:$AI$305,0)),IF(INDEX(Register!$J$6:$J$305,MATCH(63,Register!$AI$6:$AI$305,0))="","",INDEX(Register!$J$6:$J$305,MATCH(63,Register!$AI$6:$AI$305,0)))))</f>
        <v/>
      </c>
      <c r="F80" s="32">
        <f>IF(OR($B80="",$E80=""),"",$E80-$B80)</f>
        <v/>
      </c>
    </row>
    <row r="81">
      <c r="A81" s="28">
        <f>IFERROR(INDEX(Register!$A$6:$A$305,MATCH(64,Register!$AI$6:$AI$305,0)),"")</f>
        <v/>
      </c>
      <c r="B81" s="32">
        <f>IF($A81="","",IF(INDEX(Register!$K$6:$K$305,MATCH(64,Register!$AI$6:$AI$305,0))="","",INDEX(Register!$K$6:$K$305,MATCH(64,Register!$AI$6:$AI$305,0))))</f>
        <v/>
      </c>
      <c r="C81" s="28">
        <f>IF($A81="","",INDEX(Register!$B$6:$B$305,MATCH(64,Register!$AI$6:$AI$305,0)))</f>
        <v/>
      </c>
      <c r="D81" s="28">
        <f>IF($A81="","",INDEX(Register!$D$6:$D$305,MATCH(64,Register!$AI$6:$AI$305,0)))</f>
        <v/>
      </c>
      <c r="E81" s="32">
        <f>IF($A81="","",IF($C81="Program",INDEX(Register!$V$6:$V$305,MATCH(64,Register!$AI$6:$AI$305,0)),IF(INDEX(Register!$J$6:$J$305,MATCH(64,Register!$AI$6:$AI$305,0))="","",INDEX(Register!$J$6:$J$305,MATCH(64,Register!$AI$6:$AI$305,0)))))</f>
        <v/>
      </c>
      <c r="F81" s="32">
        <f>IF(OR($B81="",$E81=""),"",$E81-$B81)</f>
        <v/>
      </c>
    </row>
    <row r="82">
      <c r="A82" s="28">
        <f>IFERROR(INDEX(Register!$A$6:$A$305,MATCH(65,Register!$AI$6:$AI$305,0)),"")</f>
        <v/>
      </c>
      <c r="B82" s="32">
        <f>IF($A82="","",IF(INDEX(Register!$K$6:$K$305,MATCH(65,Register!$AI$6:$AI$305,0))="","",INDEX(Register!$K$6:$K$305,MATCH(65,Register!$AI$6:$AI$305,0))))</f>
        <v/>
      </c>
      <c r="C82" s="28">
        <f>IF($A82="","",INDEX(Register!$B$6:$B$305,MATCH(65,Register!$AI$6:$AI$305,0)))</f>
        <v/>
      </c>
      <c r="D82" s="28">
        <f>IF($A82="","",INDEX(Register!$D$6:$D$305,MATCH(65,Register!$AI$6:$AI$305,0)))</f>
        <v/>
      </c>
      <c r="E82" s="32">
        <f>IF($A82="","",IF($C82="Program",INDEX(Register!$V$6:$V$305,MATCH(65,Register!$AI$6:$AI$305,0)),IF(INDEX(Register!$J$6:$J$305,MATCH(65,Register!$AI$6:$AI$305,0))="","",INDEX(Register!$J$6:$J$305,MATCH(65,Register!$AI$6:$AI$305,0)))))</f>
        <v/>
      </c>
      <c r="F82" s="32">
        <f>IF(OR($B82="",$E82=""),"",$E82-$B82)</f>
        <v/>
      </c>
    </row>
    <row r="83">
      <c r="A83" s="28">
        <f>IFERROR(INDEX(Register!$A$6:$A$305,MATCH(66,Register!$AI$6:$AI$305,0)),"")</f>
        <v/>
      </c>
      <c r="B83" s="32">
        <f>IF($A83="","",IF(INDEX(Register!$K$6:$K$305,MATCH(66,Register!$AI$6:$AI$305,0))="","",INDEX(Register!$K$6:$K$305,MATCH(66,Register!$AI$6:$AI$305,0))))</f>
        <v/>
      </c>
      <c r="C83" s="28">
        <f>IF($A83="","",INDEX(Register!$B$6:$B$305,MATCH(66,Register!$AI$6:$AI$305,0)))</f>
        <v/>
      </c>
      <c r="D83" s="28">
        <f>IF($A83="","",INDEX(Register!$D$6:$D$305,MATCH(66,Register!$AI$6:$AI$305,0)))</f>
        <v/>
      </c>
      <c r="E83" s="32">
        <f>IF($A83="","",IF($C83="Program",INDEX(Register!$V$6:$V$305,MATCH(66,Register!$AI$6:$AI$305,0)),IF(INDEX(Register!$J$6:$J$305,MATCH(66,Register!$AI$6:$AI$305,0))="","",INDEX(Register!$J$6:$J$305,MATCH(66,Register!$AI$6:$AI$305,0)))))</f>
        <v/>
      </c>
      <c r="F83" s="32">
        <f>IF(OR($B83="",$E83=""),"",$E83-$B83)</f>
        <v/>
      </c>
    </row>
    <row r="84">
      <c r="A84" s="28">
        <f>IFERROR(INDEX(Register!$A$6:$A$305,MATCH(67,Register!$AI$6:$AI$305,0)),"")</f>
        <v/>
      </c>
      <c r="B84" s="32">
        <f>IF($A84="","",IF(INDEX(Register!$K$6:$K$305,MATCH(67,Register!$AI$6:$AI$305,0))="","",INDEX(Register!$K$6:$K$305,MATCH(67,Register!$AI$6:$AI$305,0))))</f>
        <v/>
      </c>
      <c r="C84" s="28">
        <f>IF($A84="","",INDEX(Register!$B$6:$B$305,MATCH(67,Register!$AI$6:$AI$305,0)))</f>
        <v/>
      </c>
      <c r="D84" s="28">
        <f>IF($A84="","",INDEX(Register!$D$6:$D$305,MATCH(67,Register!$AI$6:$AI$305,0)))</f>
        <v/>
      </c>
      <c r="E84" s="32">
        <f>IF($A84="","",IF($C84="Program",INDEX(Register!$V$6:$V$305,MATCH(67,Register!$AI$6:$AI$305,0)),IF(INDEX(Register!$J$6:$J$305,MATCH(67,Register!$AI$6:$AI$305,0))="","",INDEX(Register!$J$6:$J$305,MATCH(67,Register!$AI$6:$AI$305,0)))))</f>
        <v/>
      </c>
      <c r="F84" s="32">
        <f>IF(OR($B84="",$E84=""),"",$E84-$B84)</f>
        <v/>
      </c>
    </row>
    <row r="85">
      <c r="A85" s="28">
        <f>IFERROR(INDEX(Register!$A$6:$A$305,MATCH(68,Register!$AI$6:$AI$305,0)),"")</f>
        <v/>
      </c>
      <c r="B85" s="32">
        <f>IF($A85="","",IF(INDEX(Register!$K$6:$K$305,MATCH(68,Register!$AI$6:$AI$305,0))="","",INDEX(Register!$K$6:$K$305,MATCH(68,Register!$AI$6:$AI$305,0))))</f>
        <v/>
      </c>
      <c r="C85" s="28">
        <f>IF($A85="","",INDEX(Register!$B$6:$B$305,MATCH(68,Register!$AI$6:$AI$305,0)))</f>
        <v/>
      </c>
      <c r="D85" s="28">
        <f>IF($A85="","",INDEX(Register!$D$6:$D$305,MATCH(68,Register!$AI$6:$AI$305,0)))</f>
        <v/>
      </c>
      <c r="E85" s="32">
        <f>IF($A85="","",IF($C85="Program",INDEX(Register!$V$6:$V$305,MATCH(68,Register!$AI$6:$AI$305,0)),IF(INDEX(Register!$J$6:$J$305,MATCH(68,Register!$AI$6:$AI$305,0))="","",INDEX(Register!$J$6:$J$305,MATCH(68,Register!$AI$6:$AI$305,0)))))</f>
        <v/>
      </c>
      <c r="F85" s="32">
        <f>IF(OR($B85="",$E85=""),"",$E85-$B85)</f>
        <v/>
      </c>
    </row>
    <row r="86">
      <c r="A86" s="28">
        <f>IFERROR(INDEX(Register!$A$6:$A$305,MATCH(69,Register!$AI$6:$AI$305,0)),"")</f>
        <v/>
      </c>
      <c r="B86" s="32">
        <f>IF($A86="","",IF(INDEX(Register!$K$6:$K$305,MATCH(69,Register!$AI$6:$AI$305,0))="","",INDEX(Register!$K$6:$K$305,MATCH(69,Register!$AI$6:$AI$305,0))))</f>
        <v/>
      </c>
      <c r="C86" s="28">
        <f>IF($A86="","",INDEX(Register!$B$6:$B$305,MATCH(69,Register!$AI$6:$AI$305,0)))</f>
        <v/>
      </c>
      <c r="D86" s="28">
        <f>IF($A86="","",INDEX(Register!$D$6:$D$305,MATCH(69,Register!$AI$6:$AI$305,0)))</f>
        <v/>
      </c>
      <c r="E86" s="32">
        <f>IF($A86="","",IF($C86="Program",INDEX(Register!$V$6:$V$305,MATCH(69,Register!$AI$6:$AI$305,0)),IF(INDEX(Register!$J$6:$J$305,MATCH(69,Register!$AI$6:$AI$305,0))="","",INDEX(Register!$J$6:$J$305,MATCH(69,Register!$AI$6:$AI$305,0)))))</f>
        <v/>
      </c>
      <c r="F86" s="32">
        <f>IF(OR($B86="",$E86=""),"",$E86-$B86)</f>
        <v/>
      </c>
    </row>
    <row r="87">
      <c r="A87" s="28">
        <f>IFERROR(INDEX(Register!$A$6:$A$305,MATCH(70,Register!$AI$6:$AI$305,0)),"")</f>
        <v/>
      </c>
      <c r="B87" s="32">
        <f>IF($A87="","",IF(INDEX(Register!$K$6:$K$305,MATCH(70,Register!$AI$6:$AI$305,0))="","",INDEX(Register!$K$6:$K$305,MATCH(70,Register!$AI$6:$AI$305,0))))</f>
        <v/>
      </c>
      <c r="C87" s="28">
        <f>IF($A87="","",INDEX(Register!$B$6:$B$305,MATCH(70,Register!$AI$6:$AI$305,0)))</f>
        <v/>
      </c>
      <c r="D87" s="28">
        <f>IF($A87="","",INDEX(Register!$D$6:$D$305,MATCH(70,Register!$AI$6:$AI$305,0)))</f>
        <v/>
      </c>
      <c r="E87" s="32">
        <f>IF($A87="","",IF($C87="Program",INDEX(Register!$V$6:$V$305,MATCH(70,Register!$AI$6:$AI$305,0)),IF(INDEX(Register!$J$6:$J$305,MATCH(70,Register!$AI$6:$AI$305,0))="","",INDEX(Register!$J$6:$J$305,MATCH(70,Register!$AI$6:$AI$305,0)))))</f>
        <v/>
      </c>
      <c r="F87" s="32">
        <f>IF(OR($B87="",$E87=""),"",$E87-$B87)</f>
        <v/>
      </c>
    </row>
    <row r="88">
      <c r="A88" s="28">
        <f>IFERROR(INDEX(Register!$A$6:$A$305,MATCH(71,Register!$AI$6:$AI$305,0)),"")</f>
        <v/>
      </c>
      <c r="B88" s="32">
        <f>IF($A88="","",IF(INDEX(Register!$K$6:$K$305,MATCH(71,Register!$AI$6:$AI$305,0))="","",INDEX(Register!$K$6:$K$305,MATCH(71,Register!$AI$6:$AI$305,0))))</f>
        <v/>
      </c>
      <c r="C88" s="28">
        <f>IF($A88="","",INDEX(Register!$B$6:$B$305,MATCH(71,Register!$AI$6:$AI$305,0)))</f>
        <v/>
      </c>
      <c r="D88" s="28">
        <f>IF($A88="","",INDEX(Register!$D$6:$D$305,MATCH(71,Register!$AI$6:$AI$305,0)))</f>
        <v/>
      </c>
      <c r="E88" s="32">
        <f>IF($A88="","",IF($C88="Program",INDEX(Register!$V$6:$V$305,MATCH(71,Register!$AI$6:$AI$305,0)),IF(INDEX(Register!$J$6:$J$305,MATCH(71,Register!$AI$6:$AI$305,0))="","",INDEX(Register!$J$6:$J$305,MATCH(71,Register!$AI$6:$AI$305,0)))))</f>
        <v/>
      </c>
      <c r="F88" s="32">
        <f>IF(OR($B88="",$E88=""),"",$E88-$B88)</f>
        <v/>
      </c>
    </row>
    <row r="89">
      <c r="A89" s="28">
        <f>IFERROR(INDEX(Register!$A$6:$A$305,MATCH(72,Register!$AI$6:$AI$305,0)),"")</f>
        <v/>
      </c>
      <c r="B89" s="32">
        <f>IF($A89="","",IF(INDEX(Register!$K$6:$K$305,MATCH(72,Register!$AI$6:$AI$305,0))="","",INDEX(Register!$K$6:$K$305,MATCH(72,Register!$AI$6:$AI$305,0))))</f>
        <v/>
      </c>
      <c r="C89" s="28">
        <f>IF($A89="","",INDEX(Register!$B$6:$B$305,MATCH(72,Register!$AI$6:$AI$305,0)))</f>
        <v/>
      </c>
      <c r="D89" s="28">
        <f>IF($A89="","",INDEX(Register!$D$6:$D$305,MATCH(72,Register!$AI$6:$AI$305,0)))</f>
        <v/>
      </c>
      <c r="E89" s="32">
        <f>IF($A89="","",IF($C89="Program",INDEX(Register!$V$6:$V$305,MATCH(72,Register!$AI$6:$AI$305,0)),IF(INDEX(Register!$J$6:$J$305,MATCH(72,Register!$AI$6:$AI$305,0))="","",INDEX(Register!$J$6:$J$305,MATCH(72,Register!$AI$6:$AI$305,0)))))</f>
        <v/>
      </c>
      <c r="F89" s="32">
        <f>IF(OR($B89="",$E89=""),"",$E89-$B89)</f>
        <v/>
      </c>
    </row>
    <row r="90">
      <c r="A90" s="28">
        <f>IFERROR(INDEX(Register!$A$6:$A$305,MATCH(73,Register!$AI$6:$AI$305,0)),"")</f>
        <v/>
      </c>
      <c r="B90" s="32">
        <f>IF($A90="","",IF(INDEX(Register!$K$6:$K$305,MATCH(73,Register!$AI$6:$AI$305,0))="","",INDEX(Register!$K$6:$K$305,MATCH(73,Register!$AI$6:$AI$305,0))))</f>
        <v/>
      </c>
      <c r="C90" s="28">
        <f>IF($A90="","",INDEX(Register!$B$6:$B$305,MATCH(73,Register!$AI$6:$AI$305,0)))</f>
        <v/>
      </c>
      <c r="D90" s="28">
        <f>IF($A90="","",INDEX(Register!$D$6:$D$305,MATCH(73,Register!$AI$6:$AI$305,0)))</f>
        <v/>
      </c>
      <c r="E90" s="32">
        <f>IF($A90="","",IF($C90="Program",INDEX(Register!$V$6:$V$305,MATCH(73,Register!$AI$6:$AI$305,0)),IF(INDEX(Register!$J$6:$J$305,MATCH(73,Register!$AI$6:$AI$305,0))="","",INDEX(Register!$J$6:$J$305,MATCH(73,Register!$AI$6:$AI$305,0)))))</f>
        <v/>
      </c>
      <c r="F90" s="32">
        <f>IF(OR($B90="",$E90=""),"",$E90-$B90)</f>
        <v/>
      </c>
    </row>
    <row r="91">
      <c r="A91" s="28">
        <f>IFERROR(INDEX(Register!$A$6:$A$305,MATCH(74,Register!$AI$6:$AI$305,0)),"")</f>
        <v/>
      </c>
      <c r="B91" s="32">
        <f>IF($A91="","",IF(INDEX(Register!$K$6:$K$305,MATCH(74,Register!$AI$6:$AI$305,0))="","",INDEX(Register!$K$6:$K$305,MATCH(74,Register!$AI$6:$AI$305,0))))</f>
        <v/>
      </c>
      <c r="C91" s="28">
        <f>IF($A91="","",INDEX(Register!$B$6:$B$305,MATCH(74,Register!$AI$6:$AI$305,0)))</f>
        <v/>
      </c>
      <c r="D91" s="28">
        <f>IF($A91="","",INDEX(Register!$D$6:$D$305,MATCH(74,Register!$AI$6:$AI$305,0)))</f>
        <v/>
      </c>
      <c r="E91" s="32">
        <f>IF($A91="","",IF($C91="Program",INDEX(Register!$V$6:$V$305,MATCH(74,Register!$AI$6:$AI$305,0)),IF(INDEX(Register!$J$6:$J$305,MATCH(74,Register!$AI$6:$AI$305,0))="","",INDEX(Register!$J$6:$J$305,MATCH(74,Register!$AI$6:$AI$305,0)))))</f>
        <v/>
      </c>
      <c r="F91" s="32">
        <f>IF(OR($B91="",$E91=""),"",$E91-$B91)</f>
        <v/>
      </c>
    </row>
    <row r="92">
      <c r="A92" s="28">
        <f>IFERROR(INDEX(Register!$A$6:$A$305,MATCH(75,Register!$AI$6:$AI$305,0)),"")</f>
        <v/>
      </c>
      <c r="B92" s="32">
        <f>IF($A92="","",IF(INDEX(Register!$K$6:$K$305,MATCH(75,Register!$AI$6:$AI$305,0))="","",INDEX(Register!$K$6:$K$305,MATCH(75,Register!$AI$6:$AI$305,0))))</f>
        <v/>
      </c>
      <c r="C92" s="28">
        <f>IF($A92="","",INDEX(Register!$B$6:$B$305,MATCH(75,Register!$AI$6:$AI$305,0)))</f>
        <v/>
      </c>
      <c r="D92" s="28">
        <f>IF($A92="","",INDEX(Register!$D$6:$D$305,MATCH(75,Register!$AI$6:$AI$305,0)))</f>
        <v/>
      </c>
      <c r="E92" s="32">
        <f>IF($A92="","",IF($C92="Program",INDEX(Register!$V$6:$V$305,MATCH(75,Register!$AI$6:$AI$305,0)),IF(INDEX(Register!$J$6:$J$305,MATCH(75,Register!$AI$6:$AI$305,0))="","",INDEX(Register!$J$6:$J$305,MATCH(75,Register!$AI$6:$AI$305,0)))))</f>
        <v/>
      </c>
      <c r="F92" s="32">
        <f>IF(OR($B92="",$E92=""),"",$E92-$B92)</f>
        <v/>
      </c>
    </row>
    <row r="93">
      <c r="A93" s="28">
        <f>IFERROR(INDEX(Register!$A$6:$A$305,MATCH(76,Register!$AI$6:$AI$305,0)),"")</f>
        <v/>
      </c>
      <c r="B93" s="32">
        <f>IF($A93="","",IF(INDEX(Register!$K$6:$K$305,MATCH(76,Register!$AI$6:$AI$305,0))="","",INDEX(Register!$K$6:$K$305,MATCH(76,Register!$AI$6:$AI$305,0))))</f>
        <v/>
      </c>
      <c r="C93" s="28">
        <f>IF($A93="","",INDEX(Register!$B$6:$B$305,MATCH(76,Register!$AI$6:$AI$305,0)))</f>
        <v/>
      </c>
      <c r="D93" s="28">
        <f>IF($A93="","",INDEX(Register!$D$6:$D$305,MATCH(76,Register!$AI$6:$AI$305,0)))</f>
        <v/>
      </c>
      <c r="E93" s="32">
        <f>IF($A93="","",IF($C93="Program",INDEX(Register!$V$6:$V$305,MATCH(76,Register!$AI$6:$AI$305,0)),IF(INDEX(Register!$J$6:$J$305,MATCH(76,Register!$AI$6:$AI$305,0))="","",INDEX(Register!$J$6:$J$305,MATCH(76,Register!$AI$6:$AI$305,0)))))</f>
        <v/>
      </c>
      <c r="F93" s="32">
        <f>IF(OR($B93="",$E93=""),"",$E93-$B93)</f>
        <v/>
      </c>
    </row>
    <row r="94">
      <c r="A94" s="28">
        <f>IFERROR(INDEX(Register!$A$6:$A$305,MATCH(77,Register!$AI$6:$AI$305,0)),"")</f>
        <v/>
      </c>
      <c r="B94" s="32">
        <f>IF($A94="","",IF(INDEX(Register!$K$6:$K$305,MATCH(77,Register!$AI$6:$AI$305,0))="","",INDEX(Register!$K$6:$K$305,MATCH(77,Register!$AI$6:$AI$305,0))))</f>
        <v/>
      </c>
      <c r="C94" s="28">
        <f>IF($A94="","",INDEX(Register!$B$6:$B$305,MATCH(77,Register!$AI$6:$AI$305,0)))</f>
        <v/>
      </c>
      <c r="D94" s="28">
        <f>IF($A94="","",INDEX(Register!$D$6:$D$305,MATCH(77,Register!$AI$6:$AI$305,0)))</f>
        <v/>
      </c>
      <c r="E94" s="32">
        <f>IF($A94="","",IF($C94="Program",INDEX(Register!$V$6:$V$305,MATCH(77,Register!$AI$6:$AI$305,0)),IF(INDEX(Register!$J$6:$J$305,MATCH(77,Register!$AI$6:$AI$305,0))="","",INDEX(Register!$J$6:$J$305,MATCH(77,Register!$AI$6:$AI$305,0)))))</f>
        <v/>
      </c>
      <c r="F94" s="32">
        <f>IF(OR($B94="",$E94=""),"",$E94-$B94)</f>
        <v/>
      </c>
    </row>
    <row r="95">
      <c r="A95" s="28">
        <f>IFERROR(INDEX(Register!$A$6:$A$305,MATCH(78,Register!$AI$6:$AI$305,0)),"")</f>
        <v/>
      </c>
      <c r="B95" s="32">
        <f>IF($A95="","",IF(INDEX(Register!$K$6:$K$305,MATCH(78,Register!$AI$6:$AI$305,0))="","",INDEX(Register!$K$6:$K$305,MATCH(78,Register!$AI$6:$AI$305,0))))</f>
        <v/>
      </c>
      <c r="C95" s="28">
        <f>IF($A95="","",INDEX(Register!$B$6:$B$305,MATCH(78,Register!$AI$6:$AI$305,0)))</f>
        <v/>
      </c>
      <c r="D95" s="28">
        <f>IF($A95="","",INDEX(Register!$D$6:$D$305,MATCH(78,Register!$AI$6:$AI$305,0)))</f>
        <v/>
      </c>
      <c r="E95" s="32">
        <f>IF($A95="","",IF($C95="Program",INDEX(Register!$V$6:$V$305,MATCH(78,Register!$AI$6:$AI$305,0)),IF(INDEX(Register!$J$6:$J$305,MATCH(78,Register!$AI$6:$AI$305,0))="","",INDEX(Register!$J$6:$J$305,MATCH(78,Register!$AI$6:$AI$305,0)))))</f>
        <v/>
      </c>
      <c r="F95" s="32">
        <f>IF(OR($B95="",$E95=""),"",$E95-$B95)</f>
        <v/>
      </c>
    </row>
    <row r="96">
      <c r="A96" s="28">
        <f>IFERROR(INDEX(Register!$A$6:$A$305,MATCH(79,Register!$AI$6:$AI$305,0)),"")</f>
        <v/>
      </c>
      <c r="B96" s="32">
        <f>IF($A96="","",IF(INDEX(Register!$K$6:$K$305,MATCH(79,Register!$AI$6:$AI$305,0))="","",INDEX(Register!$K$6:$K$305,MATCH(79,Register!$AI$6:$AI$305,0))))</f>
        <v/>
      </c>
      <c r="C96" s="28">
        <f>IF($A96="","",INDEX(Register!$B$6:$B$305,MATCH(79,Register!$AI$6:$AI$305,0)))</f>
        <v/>
      </c>
      <c r="D96" s="28">
        <f>IF($A96="","",INDEX(Register!$D$6:$D$305,MATCH(79,Register!$AI$6:$AI$305,0)))</f>
        <v/>
      </c>
      <c r="E96" s="32">
        <f>IF($A96="","",IF($C96="Program",INDEX(Register!$V$6:$V$305,MATCH(79,Register!$AI$6:$AI$305,0)),IF(INDEX(Register!$J$6:$J$305,MATCH(79,Register!$AI$6:$AI$305,0))="","",INDEX(Register!$J$6:$J$305,MATCH(79,Register!$AI$6:$AI$305,0)))))</f>
        <v/>
      </c>
      <c r="F96" s="32">
        <f>IF(OR($B96="",$E96=""),"",$E96-$B96)</f>
        <v/>
      </c>
    </row>
    <row r="97">
      <c r="A97" s="28">
        <f>IFERROR(INDEX(Register!$A$6:$A$305,MATCH(80,Register!$AI$6:$AI$305,0)),"")</f>
        <v/>
      </c>
      <c r="B97" s="32">
        <f>IF($A97="","",IF(INDEX(Register!$K$6:$K$305,MATCH(80,Register!$AI$6:$AI$305,0))="","",INDEX(Register!$K$6:$K$305,MATCH(80,Register!$AI$6:$AI$305,0))))</f>
        <v/>
      </c>
      <c r="C97" s="28">
        <f>IF($A97="","",INDEX(Register!$B$6:$B$305,MATCH(80,Register!$AI$6:$AI$305,0)))</f>
        <v/>
      </c>
      <c r="D97" s="28">
        <f>IF($A97="","",INDEX(Register!$D$6:$D$305,MATCH(80,Register!$AI$6:$AI$305,0)))</f>
        <v/>
      </c>
      <c r="E97" s="32">
        <f>IF($A97="","",IF($C97="Program",INDEX(Register!$V$6:$V$305,MATCH(80,Register!$AI$6:$AI$305,0)),IF(INDEX(Register!$J$6:$J$305,MATCH(80,Register!$AI$6:$AI$305,0))="","",INDEX(Register!$J$6:$J$305,MATCH(80,Register!$AI$6:$AI$305,0)))))</f>
        <v/>
      </c>
      <c r="F97" s="32">
        <f>IF(OR($B97="",$E97=""),"",$E97-$B97)</f>
        <v/>
      </c>
    </row>
    <row r="98">
      <c r="A98" s="28">
        <f>IFERROR(INDEX(Register!$A$6:$A$305,MATCH(81,Register!$AI$6:$AI$305,0)),"")</f>
        <v/>
      </c>
      <c r="B98" s="32">
        <f>IF($A98="","",IF(INDEX(Register!$K$6:$K$305,MATCH(81,Register!$AI$6:$AI$305,0))="","",INDEX(Register!$K$6:$K$305,MATCH(81,Register!$AI$6:$AI$305,0))))</f>
        <v/>
      </c>
      <c r="C98" s="28">
        <f>IF($A98="","",INDEX(Register!$B$6:$B$305,MATCH(81,Register!$AI$6:$AI$305,0)))</f>
        <v/>
      </c>
      <c r="D98" s="28">
        <f>IF($A98="","",INDEX(Register!$D$6:$D$305,MATCH(81,Register!$AI$6:$AI$305,0)))</f>
        <v/>
      </c>
      <c r="E98" s="32">
        <f>IF($A98="","",IF($C98="Program",INDEX(Register!$V$6:$V$305,MATCH(81,Register!$AI$6:$AI$305,0)),IF(INDEX(Register!$J$6:$J$305,MATCH(81,Register!$AI$6:$AI$305,0))="","",INDEX(Register!$J$6:$J$305,MATCH(81,Register!$AI$6:$AI$305,0)))))</f>
        <v/>
      </c>
      <c r="F98" s="32">
        <f>IF(OR($B98="",$E98=""),"",$E98-$B98)</f>
        <v/>
      </c>
    </row>
    <row r="99">
      <c r="A99" s="28">
        <f>IFERROR(INDEX(Register!$A$6:$A$305,MATCH(82,Register!$AI$6:$AI$305,0)),"")</f>
        <v/>
      </c>
      <c r="B99" s="32">
        <f>IF($A99="","",IF(INDEX(Register!$K$6:$K$305,MATCH(82,Register!$AI$6:$AI$305,0))="","",INDEX(Register!$K$6:$K$305,MATCH(82,Register!$AI$6:$AI$305,0))))</f>
        <v/>
      </c>
      <c r="C99" s="28">
        <f>IF($A99="","",INDEX(Register!$B$6:$B$305,MATCH(82,Register!$AI$6:$AI$305,0)))</f>
        <v/>
      </c>
      <c r="D99" s="28">
        <f>IF($A99="","",INDEX(Register!$D$6:$D$305,MATCH(82,Register!$AI$6:$AI$305,0)))</f>
        <v/>
      </c>
      <c r="E99" s="32">
        <f>IF($A99="","",IF($C99="Program",INDEX(Register!$V$6:$V$305,MATCH(82,Register!$AI$6:$AI$305,0)),IF(INDEX(Register!$J$6:$J$305,MATCH(82,Register!$AI$6:$AI$305,0))="","",INDEX(Register!$J$6:$J$305,MATCH(82,Register!$AI$6:$AI$305,0)))))</f>
        <v/>
      </c>
      <c r="F99" s="32">
        <f>IF(OR($B99="",$E99=""),"",$E99-$B99)</f>
        <v/>
      </c>
    </row>
    <row r="100">
      <c r="A100" s="28">
        <f>IFERROR(INDEX(Register!$A$6:$A$305,MATCH(83,Register!$AI$6:$AI$305,0)),"")</f>
        <v/>
      </c>
      <c r="B100" s="32">
        <f>IF($A100="","",IF(INDEX(Register!$K$6:$K$305,MATCH(83,Register!$AI$6:$AI$305,0))="","",INDEX(Register!$K$6:$K$305,MATCH(83,Register!$AI$6:$AI$305,0))))</f>
        <v/>
      </c>
      <c r="C100" s="28">
        <f>IF($A100="","",INDEX(Register!$B$6:$B$305,MATCH(83,Register!$AI$6:$AI$305,0)))</f>
        <v/>
      </c>
      <c r="D100" s="28">
        <f>IF($A100="","",INDEX(Register!$D$6:$D$305,MATCH(83,Register!$AI$6:$AI$305,0)))</f>
        <v/>
      </c>
      <c r="E100" s="32">
        <f>IF($A100="","",IF($C100="Program",INDEX(Register!$V$6:$V$305,MATCH(83,Register!$AI$6:$AI$305,0)),IF(INDEX(Register!$J$6:$J$305,MATCH(83,Register!$AI$6:$AI$305,0))="","",INDEX(Register!$J$6:$J$305,MATCH(83,Register!$AI$6:$AI$305,0)))))</f>
        <v/>
      </c>
      <c r="F100" s="32">
        <f>IF(OR($B100="",$E100=""),"",$E100-$B100)</f>
        <v/>
      </c>
    </row>
    <row r="101">
      <c r="A101" s="28">
        <f>IFERROR(INDEX(Register!$A$6:$A$305,MATCH(84,Register!$AI$6:$AI$305,0)),"")</f>
        <v/>
      </c>
      <c r="B101" s="32">
        <f>IF($A101="","",IF(INDEX(Register!$K$6:$K$305,MATCH(84,Register!$AI$6:$AI$305,0))="","",INDEX(Register!$K$6:$K$305,MATCH(84,Register!$AI$6:$AI$305,0))))</f>
        <v/>
      </c>
      <c r="C101" s="28">
        <f>IF($A101="","",INDEX(Register!$B$6:$B$305,MATCH(84,Register!$AI$6:$AI$305,0)))</f>
        <v/>
      </c>
      <c r="D101" s="28">
        <f>IF($A101="","",INDEX(Register!$D$6:$D$305,MATCH(84,Register!$AI$6:$AI$305,0)))</f>
        <v/>
      </c>
      <c r="E101" s="32">
        <f>IF($A101="","",IF($C101="Program",INDEX(Register!$V$6:$V$305,MATCH(84,Register!$AI$6:$AI$305,0)),IF(INDEX(Register!$J$6:$J$305,MATCH(84,Register!$AI$6:$AI$305,0))="","",INDEX(Register!$J$6:$J$305,MATCH(84,Register!$AI$6:$AI$305,0)))))</f>
        <v/>
      </c>
      <c r="F101" s="32">
        <f>IF(OR($B101="",$E101=""),"",$E101-$B101)</f>
        <v/>
      </c>
    </row>
    <row r="102">
      <c r="A102" s="28">
        <f>IFERROR(INDEX(Register!$A$6:$A$305,MATCH(85,Register!$AI$6:$AI$305,0)),"")</f>
        <v/>
      </c>
      <c r="B102" s="32">
        <f>IF($A102="","",IF(INDEX(Register!$K$6:$K$305,MATCH(85,Register!$AI$6:$AI$305,0))="","",INDEX(Register!$K$6:$K$305,MATCH(85,Register!$AI$6:$AI$305,0))))</f>
        <v/>
      </c>
      <c r="C102" s="28">
        <f>IF($A102="","",INDEX(Register!$B$6:$B$305,MATCH(85,Register!$AI$6:$AI$305,0)))</f>
        <v/>
      </c>
      <c r="D102" s="28">
        <f>IF($A102="","",INDEX(Register!$D$6:$D$305,MATCH(85,Register!$AI$6:$AI$305,0)))</f>
        <v/>
      </c>
      <c r="E102" s="32">
        <f>IF($A102="","",IF($C102="Program",INDEX(Register!$V$6:$V$305,MATCH(85,Register!$AI$6:$AI$305,0)),IF(INDEX(Register!$J$6:$J$305,MATCH(85,Register!$AI$6:$AI$305,0))="","",INDEX(Register!$J$6:$J$305,MATCH(85,Register!$AI$6:$AI$305,0)))))</f>
        <v/>
      </c>
      <c r="F102" s="32">
        <f>IF(OR($B102="",$E102=""),"",$E102-$B102)</f>
        <v/>
      </c>
    </row>
    <row r="103">
      <c r="A103" s="28">
        <f>IFERROR(INDEX(Register!$A$6:$A$305,MATCH(86,Register!$AI$6:$AI$305,0)),"")</f>
        <v/>
      </c>
      <c r="B103" s="32">
        <f>IF($A103="","",IF(INDEX(Register!$K$6:$K$305,MATCH(86,Register!$AI$6:$AI$305,0))="","",INDEX(Register!$K$6:$K$305,MATCH(86,Register!$AI$6:$AI$305,0))))</f>
        <v/>
      </c>
      <c r="C103" s="28">
        <f>IF($A103="","",INDEX(Register!$B$6:$B$305,MATCH(86,Register!$AI$6:$AI$305,0)))</f>
        <v/>
      </c>
      <c r="D103" s="28">
        <f>IF($A103="","",INDEX(Register!$D$6:$D$305,MATCH(86,Register!$AI$6:$AI$305,0)))</f>
        <v/>
      </c>
      <c r="E103" s="32">
        <f>IF($A103="","",IF($C103="Program",INDEX(Register!$V$6:$V$305,MATCH(86,Register!$AI$6:$AI$305,0)),IF(INDEX(Register!$J$6:$J$305,MATCH(86,Register!$AI$6:$AI$305,0))="","",INDEX(Register!$J$6:$J$305,MATCH(86,Register!$AI$6:$AI$305,0)))))</f>
        <v/>
      </c>
      <c r="F103" s="32">
        <f>IF(OR($B103="",$E103=""),"",$E103-$B103)</f>
        <v/>
      </c>
    </row>
    <row r="104">
      <c r="A104" s="28">
        <f>IFERROR(INDEX(Register!$A$6:$A$305,MATCH(87,Register!$AI$6:$AI$305,0)),"")</f>
        <v/>
      </c>
      <c r="B104" s="32">
        <f>IF($A104="","",IF(INDEX(Register!$K$6:$K$305,MATCH(87,Register!$AI$6:$AI$305,0))="","",INDEX(Register!$K$6:$K$305,MATCH(87,Register!$AI$6:$AI$305,0))))</f>
        <v/>
      </c>
      <c r="C104" s="28">
        <f>IF($A104="","",INDEX(Register!$B$6:$B$305,MATCH(87,Register!$AI$6:$AI$305,0)))</f>
        <v/>
      </c>
      <c r="D104" s="28">
        <f>IF($A104="","",INDEX(Register!$D$6:$D$305,MATCH(87,Register!$AI$6:$AI$305,0)))</f>
        <v/>
      </c>
      <c r="E104" s="32">
        <f>IF($A104="","",IF($C104="Program",INDEX(Register!$V$6:$V$305,MATCH(87,Register!$AI$6:$AI$305,0)),IF(INDEX(Register!$J$6:$J$305,MATCH(87,Register!$AI$6:$AI$305,0))="","",INDEX(Register!$J$6:$J$305,MATCH(87,Register!$AI$6:$AI$305,0)))))</f>
        <v/>
      </c>
      <c r="F104" s="32">
        <f>IF(OR($B104="",$E104=""),"",$E104-$B104)</f>
        <v/>
      </c>
    </row>
    <row r="105">
      <c r="A105" s="28">
        <f>IFERROR(INDEX(Register!$A$6:$A$305,MATCH(88,Register!$AI$6:$AI$305,0)),"")</f>
        <v/>
      </c>
      <c r="B105" s="32">
        <f>IF($A105="","",IF(INDEX(Register!$K$6:$K$305,MATCH(88,Register!$AI$6:$AI$305,0))="","",INDEX(Register!$K$6:$K$305,MATCH(88,Register!$AI$6:$AI$305,0))))</f>
        <v/>
      </c>
      <c r="C105" s="28">
        <f>IF($A105="","",INDEX(Register!$B$6:$B$305,MATCH(88,Register!$AI$6:$AI$305,0)))</f>
        <v/>
      </c>
      <c r="D105" s="28">
        <f>IF($A105="","",INDEX(Register!$D$6:$D$305,MATCH(88,Register!$AI$6:$AI$305,0)))</f>
        <v/>
      </c>
      <c r="E105" s="32">
        <f>IF($A105="","",IF($C105="Program",INDEX(Register!$V$6:$V$305,MATCH(88,Register!$AI$6:$AI$305,0)),IF(INDEX(Register!$J$6:$J$305,MATCH(88,Register!$AI$6:$AI$305,0))="","",INDEX(Register!$J$6:$J$305,MATCH(88,Register!$AI$6:$AI$305,0)))))</f>
        <v/>
      </c>
      <c r="F105" s="32">
        <f>IF(OR($B105="",$E105=""),"",$E105-$B105)</f>
        <v/>
      </c>
    </row>
    <row r="106">
      <c r="A106" s="28">
        <f>IFERROR(INDEX(Register!$A$6:$A$305,MATCH(89,Register!$AI$6:$AI$305,0)),"")</f>
        <v/>
      </c>
      <c r="B106" s="32">
        <f>IF($A106="","",IF(INDEX(Register!$K$6:$K$305,MATCH(89,Register!$AI$6:$AI$305,0))="","",INDEX(Register!$K$6:$K$305,MATCH(89,Register!$AI$6:$AI$305,0))))</f>
        <v/>
      </c>
      <c r="C106" s="28">
        <f>IF($A106="","",INDEX(Register!$B$6:$B$305,MATCH(89,Register!$AI$6:$AI$305,0)))</f>
        <v/>
      </c>
      <c r="D106" s="28">
        <f>IF($A106="","",INDEX(Register!$D$6:$D$305,MATCH(89,Register!$AI$6:$AI$305,0)))</f>
        <v/>
      </c>
      <c r="E106" s="32">
        <f>IF($A106="","",IF($C106="Program",INDEX(Register!$V$6:$V$305,MATCH(89,Register!$AI$6:$AI$305,0)),IF(INDEX(Register!$J$6:$J$305,MATCH(89,Register!$AI$6:$AI$305,0))="","",INDEX(Register!$J$6:$J$305,MATCH(89,Register!$AI$6:$AI$305,0)))))</f>
        <v/>
      </c>
      <c r="F106" s="32">
        <f>IF(OR($B106="",$E106=""),"",$E106-$B106)</f>
        <v/>
      </c>
    </row>
    <row r="107">
      <c r="A107" s="28">
        <f>IFERROR(INDEX(Register!$A$6:$A$305,MATCH(90,Register!$AI$6:$AI$305,0)),"")</f>
        <v/>
      </c>
      <c r="B107" s="32">
        <f>IF($A107="","",IF(INDEX(Register!$K$6:$K$305,MATCH(90,Register!$AI$6:$AI$305,0))="","",INDEX(Register!$K$6:$K$305,MATCH(90,Register!$AI$6:$AI$305,0))))</f>
        <v/>
      </c>
      <c r="C107" s="28">
        <f>IF($A107="","",INDEX(Register!$B$6:$B$305,MATCH(90,Register!$AI$6:$AI$305,0)))</f>
        <v/>
      </c>
      <c r="D107" s="28">
        <f>IF($A107="","",INDEX(Register!$D$6:$D$305,MATCH(90,Register!$AI$6:$AI$305,0)))</f>
        <v/>
      </c>
      <c r="E107" s="32">
        <f>IF($A107="","",IF($C107="Program",INDEX(Register!$V$6:$V$305,MATCH(90,Register!$AI$6:$AI$305,0)),IF(INDEX(Register!$J$6:$J$305,MATCH(90,Register!$AI$6:$AI$305,0))="","",INDEX(Register!$J$6:$J$305,MATCH(90,Register!$AI$6:$AI$305,0)))))</f>
        <v/>
      </c>
      <c r="F107" s="32">
        <f>IF(OR($B107="",$E107=""),"",$E107-$B107)</f>
        <v/>
      </c>
    </row>
    <row r="108">
      <c r="A108" s="28">
        <f>IFERROR(INDEX(Register!$A$6:$A$305,MATCH(91,Register!$AI$6:$AI$305,0)),"")</f>
        <v/>
      </c>
      <c r="B108" s="32">
        <f>IF($A108="","",IF(INDEX(Register!$K$6:$K$305,MATCH(91,Register!$AI$6:$AI$305,0))="","",INDEX(Register!$K$6:$K$305,MATCH(91,Register!$AI$6:$AI$305,0))))</f>
        <v/>
      </c>
      <c r="C108" s="28">
        <f>IF($A108="","",INDEX(Register!$B$6:$B$305,MATCH(91,Register!$AI$6:$AI$305,0)))</f>
        <v/>
      </c>
      <c r="D108" s="28">
        <f>IF($A108="","",INDEX(Register!$D$6:$D$305,MATCH(91,Register!$AI$6:$AI$305,0)))</f>
        <v/>
      </c>
      <c r="E108" s="32">
        <f>IF($A108="","",IF($C108="Program",INDEX(Register!$V$6:$V$305,MATCH(91,Register!$AI$6:$AI$305,0)),IF(INDEX(Register!$J$6:$J$305,MATCH(91,Register!$AI$6:$AI$305,0))="","",INDEX(Register!$J$6:$J$305,MATCH(91,Register!$AI$6:$AI$305,0)))))</f>
        <v/>
      </c>
      <c r="F108" s="32">
        <f>IF(OR($B108="",$E108=""),"",$E108-$B108)</f>
        <v/>
      </c>
    </row>
    <row r="109">
      <c r="A109" s="28">
        <f>IFERROR(INDEX(Register!$A$6:$A$305,MATCH(92,Register!$AI$6:$AI$305,0)),"")</f>
        <v/>
      </c>
      <c r="B109" s="32">
        <f>IF($A109="","",IF(INDEX(Register!$K$6:$K$305,MATCH(92,Register!$AI$6:$AI$305,0))="","",INDEX(Register!$K$6:$K$305,MATCH(92,Register!$AI$6:$AI$305,0))))</f>
        <v/>
      </c>
      <c r="C109" s="28">
        <f>IF($A109="","",INDEX(Register!$B$6:$B$305,MATCH(92,Register!$AI$6:$AI$305,0)))</f>
        <v/>
      </c>
      <c r="D109" s="28">
        <f>IF($A109="","",INDEX(Register!$D$6:$D$305,MATCH(92,Register!$AI$6:$AI$305,0)))</f>
        <v/>
      </c>
      <c r="E109" s="32">
        <f>IF($A109="","",IF($C109="Program",INDEX(Register!$V$6:$V$305,MATCH(92,Register!$AI$6:$AI$305,0)),IF(INDEX(Register!$J$6:$J$305,MATCH(92,Register!$AI$6:$AI$305,0))="","",INDEX(Register!$J$6:$J$305,MATCH(92,Register!$AI$6:$AI$305,0)))))</f>
        <v/>
      </c>
      <c r="F109" s="32">
        <f>IF(OR($B109="",$E109=""),"",$E109-$B109)</f>
        <v/>
      </c>
    </row>
    <row r="110">
      <c r="A110" s="28">
        <f>IFERROR(INDEX(Register!$A$6:$A$305,MATCH(93,Register!$AI$6:$AI$305,0)),"")</f>
        <v/>
      </c>
      <c r="B110" s="32">
        <f>IF($A110="","",IF(INDEX(Register!$K$6:$K$305,MATCH(93,Register!$AI$6:$AI$305,0))="","",INDEX(Register!$K$6:$K$305,MATCH(93,Register!$AI$6:$AI$305,0))))</f>
        <v/>
      </c>
      <c r="C110" s="28">
        <f>IF($A110="","",INDEX(Register!$B$6:$B$305,MATCH(93,Register!$AI$6:$AI$305,0)))</f>
        <v/>
      </c>
      <c r="D110" s="28">
        <f>IF($A110="","",INDEX(Register!$D$6:$D$305,MATCH(93,Register!$AI$6:$AI$305,0)))</f>
        <v/>
      </c>
      <c r="E110" s="32">
        <f>IF($A110="","",IF($C110="Program",INDEX(Register!$V$6:$V$305,MATCH(93,Register!$AI$6:$AI$305,0)),IF(INDEX(Register!$J$6:$J$305,MATCH(93,Register!$AI$6:$AI$305,0))="","",INDEX(Register!$J$6:$J$305,MATCH(93,Register!$AI$6:$AI$305,0)))))</f>
        <v/>
      </c>
      <c r="F110" s="32">
        <f>IF(OR($B110="",$E110=""),"",$E110-$B110)</f>
        <v/>
      </c>
    </row>
    <row r="111">
      <c r="A111" s="28">
        <f>IFERROR(INDEX(Register!$A$6:$A$305,MATCH(94,Register!$AI$6:$AI$305,0)),"")</f>
        <v/>
      </c>
      <c r="B111" s="32">
        <f>IF($A111="","",IF(INDEX(Register!$K$6:$K$305,MATCH(94,Register!$AI$6:$AI$305,0))="","",INDEX(Register!$K$6:$K$305,MATCH(94,Register!$AI$6:$AI$305,0))))</f>
        <v/>
      </c>
      <c r="C111" s="28">
        <f>IF($A111="","",INDEX(Register!$B$6:$B$305,MATCH(94,Register!$AI$6:$AI$305,0)))</f>
        <v/>
      </c>
      <c r="D111" s="28">
        <f>IF($A111="","",INDEX(Register!$D$6:$D$305,MATCH(94,Register!$AI$6:$AI$305,0)))</f>
        <v/>
      </c>
      <c r="E111" s="32">
        <f>IF($A111="","",IF($C111="Program",INDEX(Register!$V$6:$V$305,MATCH(94,Register!$AI$6:$AI$305,0)),IF(INDEX(Register!$J$6:$J$305,MATCH(94,Register!$AI$6:$AI$305,0))="","",INDEX(Register!$J$6:$J$305,MATCH(94,Register!$AI$6:$AI$305,0)))))</f>
        <v/>
      </c>
      <c r="F111" s="32">
        <f>IF(OR($B111="",$E111=""),"",$E111-$B111)</f>
        <v/>
      </c>
    </row>
    <row r="112">
      <c r="A112" s="28">
        <f>IFERROR(INDEX(Register!$A$6:$A$305,MATCH(95,Register!$AI$6:$AI$305,0)),"")</f>
        <v/>
      </c>
      <c r="B112" s="32">
        <f>IF($A112="","",IF(INDEX(Register!$K$6:$K$305,MATCH(95,Register!$AI$6:$AI$305,0))="","",INDEX(Register!$K$6:$K$305,MATCH(95,Register!$AI$6:$AI$305,0))))</f>
        <v/>
      </c>
      <c r="C112" s="28">
        <f>IF($A112="","",INDEX(Register!$B$6:$B$305,MATCH(95,Register!$AI$6:$AI$305,0)))</f>
        <v/>
      </c>
      <c r="D112" s="28">
        <f>IF($A112="","",INDEX(Register!$D$6:$D$305,MATCH(95,Register!$AI$6:$AI$305,0)))</f>
        <v/>
      </c>
      <c r="E112" s="32">
        <f>IF($A112="","",IF($C112="Program",INDEX(Register!$V$6:$V$305,MATCH(95,Register!$AI$6:$AI$305,0)),IF(INDEX(Register!$J$6:$J$305,MATCH(95,Register!$AI$6:$AI$305,0))="","",INDEX(Register!$J$6:$J$305,MATCH(95,Register!$AI$6:$AI$305,0)))))</f>
        <v/>
      </c>
      <c r="F112" s="32">
        <f>IF(OR($B112="",$E112=""),"",$E112-$B112)</f>
        <v/>
      </c>
    </row>
    <row r="113">
      <c r="A113" s="28">
        <f>IFERROR(INDEX(Register!$A$6:$A$305,MATCH(96,Register!$AI$6:$AI$305,0)),"")</f>
        <v/>
      </c>
      <c r="B113" s="32">
        <f>IF($A113="","",IF(INDEX(Register!$K$6:$K$305,MATCH(96,Register!$AI$6:$AI$305,0))="","",INDEX(Register!$K$6:$K$305,MATCH(96,Register!$AI$6:$AI$305,0))))</f>
        <v/>
      </c>
      <c r="C113" s="28">
        <f>IF($A113="","",INDEX(Register!$B$6:$B$305,MATCH(96,Register!$AI$6:$AI$305,0)))</f>
        <v/>
      </c>
      <c r="D113" s="28">
        <f>IF($A113="","",INDEX(Register!$D$6:$D$305,MATCH(96,Register!$AI$6:$AI$305,0)))</f>
        <v/>
      </c>
      <c r="E113" s="32">
        <f>IF($A113="","",IF($C113="Program",INDEX(Register!$V$6:$V$305,MATCH(96,Register!$AI$6:$AI$305,0)),IF(INDEX(Register!$J$6:$J$305,MATCH(96,Register!$AI$6:$AI$305,0))="","",INDEX(Register!$J$6:$J$305,MATCH(96,Register!$AI$6:$AI$305,0)))))</f>
        <v/>
      </c>
      <c r="F113" s="32">
        <f>IF(OR($B113="",$E113=""),"",$E113-$B113)</f>
        <v/>
      </c>
    </row>
    <row r="114">
      <c r="A114" s="28">
        <f>IFERROR(INDEX(Register!$A$6:$A$305,MATCH(97,Register!$AI$6:$AI$305,0)),"")</f>
        <v/>
      </c>
      <c r="B114" s="32">
        <f>IF($A114="","",IF(INDEX(Register!$K$6:$K$305,MATCH(97,Register!$AI$6:$AI$305,0))="","",INDEX(Register!$K$6:$K$305,MATCH(97,Register!$AI$6:$AI$305,0))))</f>
        <v/>
      </c>
      <c r="C114" s="28">
        <f>IF($A114="","",INDEX(Register!$B$6:$B$305,MATCH(97,Register!$AI$6:$AI$305,0)))</f>
        <v/>
      </c>
      <c r="D114" s="28">
        <f>IF($A114="","",INDEX(Register!$D$6:$D$305,MATCH(97,Register!$AI$6:$AI$305,0)))</f>
        <v/>
      </c>
      <c r="E114" s="32">
        <f>IF($A114="","",IF($C114="Program",INDEX(Register!$V$6:$V$305,MATCH(97,Register!$AI$6:$AI$305,0)),IF(INDEX(Register!$J$6:$J$305,MATCH(97,Register!$AI$6:$AI$305,0))="","",INDEX(Register!$J$6:$J$305,MATCH(97,Register!$AI$6:$AI$305,0)))))</f>
        <v/>
      </c>
      <c r="F114" s="32">
        <f>IF(OR($B114="",$E114=""),"",$E114-$B114)</f>
        <v/>
      </c>
    </row>
    <row r="115">
      <c r="A115" s="28">
        <f>IFERROR(INDEX(Register!$A$6:$A$305,MATCH(98,Register!$AI$6:$AI$305,0)),"")</f>
        <v/>
      </c>
      <c r="B115" s="32">
        <f>IF($A115="","",IF(INDEX(Register!$K$6:$K$305,MATCH(98,Register!$AI$6:$AI$305,0))="","",INDEX(Register!$K$6:$K$305,MATCH(98,Register!$AI$6:$AI$305,0))))</f>
        <v/>
      </c>
      <c r="C115" s="28">
        <f>IF($A115="","",INDEX(Register!$B$6:$B$305,MATCH(98,Register!$AI$6:$AI$305,0)))</f>
        <v/>
      </c>
      <c r="D115" s="28">
        <f>IF($A115="","",INDEX(Register!$D$6:$D$305,MATCH(98,Register!$AI$6:$AI$305,0)))</f>
        <v/>
      </c>
      <c r="E115" s="32">
        <f>IF($A115="","",IF($C115="Program",INDEX(Register!$V$6:$V$305,MATCH(98,Register!$AI$6:$AI$305,0)),IF(INDEX(Register!$J$6:$J$305,MATCH(98,Register!$AI$6:$AI$305,0))="","",INDEX(Register!$J$6:$J$305,MATCH(98,Register!$AI$6:$AI$305,0)))))</f>
        <v/>
      </c>
      <c r="F115" s="32">
        <f>IF(OR($B115="",$E115=""),"",$E115-$B115)</f>
        <v/>
      </c>
    </row>
    <row r="116">
      <c r="A116" s="28">
        <f>IFERROR(INDEX(Register!$A$6:$A$305,MATCH(99,Register!$AI$6:$AI$305,0)),"")</f>
        <v/>
      </c>
      <c r="B116" s="32">
        <f>IF($A116="","",IF(INDEX(Register!$K$6:$K$305,MATCH(99,Register!$AI$6:$AI$305,0))="","",INDEX(Register!$K$6:$K$305,MATCH(99,Register!$AI$6:$AI$305,0))))</f>
        <v/>
      </c>
      <c r="C116" s="28">
        <f>IF($A116="","",INDEX(Register!$B$6:$B$305,MATCH(99,Register!$AI$6:$AI$305,0)))</f>
        <v/>
      </c>
      <c r="D116" s="28">
        <f>IF($A116="","",INDEX(Register!$D$6:$D$305,MATCH(99,Register!$AI$6:$AI$305,0)))</f>
        <v/>
      </c>
      <c r="E116" s="32">
        <f>IF($A116="","",IF($C116="Program",INDEX(Register!$V$6:$V$305,MATCH(99,Register!$AI$6:$AI$305,0)),IF(INDEX(Register!$J$6:$J$305,MATCH(99,Register!$AI$6:$AI$305,0))="","",INDEX(Register!$J$6:$J$305,MATCH(99,Register!$AI$6:$AI$305,0)))))</f>
        <v/>
      </c>
      <c r="F116" s="32">
        <f>IF(OR($B116="",$E116=""),"",$E116-$B116)</f>
        <v/>
      </c>
    </row>
    <row r="117">
      <c r="A117" s="28">
        <f>IFERROR(INDEX(Register!$A$6:$A$305,MATCH(100,Register!$AI$6:$AI$305,0)),"")</f>
        <v/>
      </c>
      <c r="B117" s="32">
        <f>IF($A117="","",IF(INDEX(Register!$K$6:$K$305,MATCH(100,Register!$AI$6:$AI$305,0))="","",INDEX(Register!$K$6:$K$305,MATCH(100,Register!$AI$6:$AI$305,0))))</f>
        <v/>
      </c>
      <c r="C117" s="28">
        <f>IF($A117="","",INDEX(Register!$B$6:$B$305,MATCH(100,Register!$AI$6:$AI$305,0)))</f>
        <v/>
      </c>
      <c r="D117" s="28">
        <f>IF($A117="","",INDEX(Register!$D$6:$D$305,MATCH(100,Register!$AI$6:$AI$305,0)))</f>
        <v/>
      </c>
      <c r="E117" s="32">
        <f>IF($A117="","",IF($C117="Program",INDEX(Register!$V$6:$V$305,MATCH(100,Register!$AI$6:$AI$305,0)),IF(INDEX(Register!$J$6:$J$305,MATCH(100,Register!$AI$6:$AI$305,0))="","",INDEX(Register!$J$6:$J$305,MATCH(100,Register!$AI$6:$AI$305,0)))))</f>
        <v/>
      </c>
      <c r="F117" s="32">
        <f>IF(OR($B117="",$E117=""),"",$E117-$B117)</f>
        <v/>
      </c>
    </row>
  </sheetData>
  <conditionalFormatting sqref="B14">
    <cfRule type="expression" priority="1" dxfId="1" stopIfTrue="0">
      <formula>LEFT(B14,1)="△"</formula>
    </cfRule>
  </conditionalFormatting>
  <dataValidations count="4">
    <dataValidation sqref="B6" showDropDown="0" showInputMessage="1" showErrorMessage="1" allowBlank="1" errorTitle="Check this entry" error="Type an amount of 0 or more, with no currency sign." promptTitle="Envelope" prompt="The total the portfolio may spend. Optional; leave it blank and the envelope check doesn't run." type="decimal" errorStyle="stop" operator="greaterThanOrEqual">
      <formula1>0</formula1>
    </dataValidation>
    <dataValidation sqref="B7" showDropDown="0" showInputMessage="1" showErrorMessage="1" allowBlank="1" errorTitle="Check this entry" error="That code isn't on the list. Keep it if it's the right currency." promptTitle="Currency" prompt="The currency of every figure in this workbook. Pick one, or type another code." type="list" errorStyle="warning">
      <formula1>"USD,EUR,GBP"</formula1>
    </dataValidation>
    <dataValidation sqref="B8" showDropDown="0" showInputMessage="1" showErrorMessage="0" allowBlank="1" promptTitle="Source" prompt="Where the figure came from, such as a plan or a board decision, with its date." errorStyle="stop"/>
    <dataValidation sqref="B9" showDropDown="0" showInputMessage="1" showErrorMessage="0" allowBlank="1" promptTitle="Set by" prompt="Who set the figure, or last changed it." errorStyle="stop"/>
  </dataValidations>
  <pageMargins left="0.75" right="0.75" top="1" bottom="1" header="0.5" footer="0.5"/>
  <pageSetup orientation="landscape" fitToHeight="0" fitToWidth="1"/>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M105"/>
  <sheetViews>
    <sheetView showGridLines="0" workbookViewId="0">
      <pane ySplit="5" topLeftCell="A6" activePane="bottomLeft" state="frozen"/>
      <selection pane="bottomLeft" activeCell="A1" sqref="A1"/>
    </sheetView>
  </sheetViews>
  <sheetFormatPr baseColWidth="8" defaultRowHeight="15"/>
  <cols>
    <col width="22" customWidth="1" min="1" max="1"/>
    <col width="70" customWidth="1" min="2" max="2"/>
    <col width="30" customWidth="1" min="3" max="3"/>
    <col width="34" customWidth="1" min="4" max="4"/>
    <col width="26" customWidth="1" min="5" max="5"/>
    <col width="3" customWidth="1" min="6" max="6"/>
    <col width="16" customWidth="1" min="7" max="7"/>
    <col width="50" customWidth="1" min="8" max="8"/>
    <col width="3" customWidth="1" min="9" max="9"/>
    <col width="16" customWidth="1" min="10" max="10"/>
    <col width="50" customWidth="1" min="11" max="11"/>
    <col width="28" customWidth="1" min="12" max="12"/>
    <col width="14" customWidth="1" min="13" max="13"/>
  </cols>
  <sheetData>
    <row r="1" ht="36" customHeight="1">
      <c r="B1" s="1" t="inlineStr">
        <is>
          <t>Steering log (Example)</t>
        </is>
      </c>
    </row>
    <row r="2" ht="16" customHeight="1">
      <c r="A2" s="2">
        <f>IF(Portfolio!$B$6="","","Portfolio: "&amp;Portfolio!$B$6)</f>
        <v/>
      </c>
    </row>
    <row r="3" ht="18" customHeight="1">
      <c r="A3" s="4" t="inlineStr">
        <is>
          <t>Example. Wexbridge Quill Software and everyone in it are made up. Clear the white cells to start your own.</t>
        </is>
      </c>
      <c r="B3" s="5" t="n"/>
      <c r="C3" s="5" t="n"/>
      <c r="D3" s="5" t="n"/>
      <c r="E3" s="5" t="n"/>
      <c r="F3" s="5" t="n"/>
      <c r="G3" s="5" t="n"/>
      <c r="H3" s="5" t="n"/>
      <c r="I3" s="5" t="n"/>
      <c r="J3" s="5" t="n"/>
      <c r="K3" s="5" t="n"/>
      <c r="L3" s="5" t="n"/>
      <c r="M3" s="5" t="n"/>
    </row>
    <row r="4" ht="18" customHeight="1">
      <c r="A4" s="33" t="inlineStr">
        <is>
          <t>Decisions</t>
        </is>
      </c>
      <c r="G4" s="33" t="inlineStr">
        <is>
          <t>Meetings</t>
        </is>
      </c>
      <c r="J4" s="33" t="inlineStr">
        <is>
          <t>Actions</t>
        </is>
      </c>
    </row>
    <row r="5" ht="24" customHeight="1">
      <c r="A5" s="21" t="inlineStr">
        <is>
          <t>Date</t>
        </is>
      </c>
      <c r="B5" s="21" t="inlineStr">
        <is>
          <t>Decision</t>
        </is>
      </c>
      <c r="C5" s="21" t="inlineStr">
        <is>
          <t>Accountable</t>
        </is>
      </c>
      <c r="D5" s="22" t="inlineStr">
        <is>
          <t>Check</t>
        </is>
      </c>
      <c r="E5" s="21" t="inlineStr">
        <is>
          <t>Recorded by</t>
        </is>
      </c>
      <c r="G5" s="21" t="inlineStr">
        <is>
          <t>Meeting date</t>
        </is>
      </c>
      <c r="H5" s="21" t="inlineStr">
        <is>
          <t>Attended</t>
        </is>
      </c>
      <c r="J5" s="21" t="inlineStr">
        <is>
          <t>Meeting date</t>
        </is>
      </c>
      <c r="K5" s="21" t="inlineStr">
        <is>
          <t>Action</t>
        </is>
      </c>
      <c r="L5" s="21" t="inlineStr">
        <is>
          <t>Owner</t>
        </is>
      </c>
      <c r="M5" s="21" t="inlineStr">
        <is>
          <t>Due</t>
        </is>
      </c>
    </row>
    <row r="6">
      <c r="A6" s="15" t="n">
        <v>46128</v>
      </c>
      <c r="B6" s="23" t="inlineStr">
        <is>
          <t>Fund Customer Platform Modernisation at 1,100,000 for the year</t>
        </is>
      </c>
      <c r="C6" s="25" t="inlineStr">
        <is>
          <t>Priya (CTO)</t>
        </is>
      </c>
      <c r="D6" s="28">
        <f>IF(AND($A6="",$B6="",$C6=""),"",IF(OR($C6="",ISNUMBER(SEARCH(",",$C6)),ISNUMBER(SEARCH(" and ",$C6)),ISNUMBER(SEARCH("&amp;",$C6)),ISNUMBER(SEARCH("/",$C6)),ISNUMBER(SEARCH(";",$C6))),"△ Needs one accountable person",IF(AND(Portfolio!$B$7&lt;&gt;"",$E6&lt;&gt;"",$E6&lt;&gt;Portfolio!$B$7),"△ Not recorded by the director","○ Clear")))</f>
        <v/>
      </c>
      <c r="E6" s="25" t="inlineStr">
        <is>
          <t>Priya (CTO)</t>
        </is>
      </c>
      <c r="G6" s="15" t="n">
        <v>46128</v>
      </c>
      <c r="H6" s="25" t="inlineStr">
        <is>
          <t>Priya, Tomasz, Dara, Hugo, Imani</t>
        </is>
      </c>
      <c r="J6" s="15" t="n">
        <v>46310</v>
      </c>
      <c r="K6" s="23" t="inlineStr">
        <is>
          <t>Name a sponsor for Billing and Payments Program</t>
        </is>
      </c>
      <c r="L6" s="25" t="inlineStr">
        <is>
          <t>Priya (CTO)</t>
        </is>
      </c>
      <c r="M6" s="15" t="n">
        <v>46339</v>
      </c>
    </row>
    <row r="7">
      <c r="A7" s="15" t="n">
        <v>46219</v>
      </c>
      <c r="B7" s="23" t="inlineStr">
        <is>
          <t>Pause Internal Wiki Cleanup until next year's planning</t>
        </is>
      </c>
      <c r="C7" s="25" t="inlineStr">
        <is>
          <t>Priya (CTO)</t>
        </is>
      </c>
      <c r="D7" s="28">
        <f>IF(AND($A7="",$B7="",$C7=""),"",IF(OR($C7="",ISNUMBER(SEARCH(",",$C7)),ISNUMBER(SEARCH(" and ",$C7)),ISNUMBER(SEARCH("&amp;",$C7)),ISNUMBER(SEARCH("/",$C7)),ISNUMBER(SEARCH(";",$C7))),"△ Needs one accountable person",IF(AND(Portfolio!$B$7&lt;&gt;"",$E7&lt;&gt;"",$E7&lt;&gt;Portfolio!$B$7),"△ Not recorded by the director","○ Clear")))</f>
        <v/>
      </c>
      <c r="E7" s="25" t="inlineStr">
        <is>
          <t>Priya (CTO)</t>
        </is>
      </c>
      <c r="G7" s="15" t="n">
        <v>46219</v>
      </c>
      <c r="H7" s="25" t="inlineStr">
        <is>
          <t>Priya, Tomasz, Dara, Hugo, Imani, Anders</t>
        </is>
      </c>
      <c r="J7" s="15" t="n">
        <v>46310</v>
      </c>
      <c r="K7" s="23" t="inlineStr">
        <is>
          <t>Move Support Tooling Replacement under a real program or drop it</t>
        </is>
      </c>
      <c r="L7" s="25" t="inlineStr">
        <is>
          <t>Tomasz (PMO Head)</t>
        </is>
      </c>
      <c r="M7" s="15" t="n">
        <v>46339</v>
      </c>
    </row>
    <row r="8">
      <c r="A8" s="15" t="n">
        <v>46310</v>
      </c>
      <c r="B8" s="23" t="inlineStr">
        <is>
          <t>Keep the Penetration Test Remediation plan date at 9 Oct and report against it</t>
        </is>
      </c>
      <c r="C8" s="25" t="inlineStr">
        <is>
          <t>Imani (Security Lead)</t>
        </is>
      </c>
      <c r="D8" s="28">
        <f>IF(AND($A8="",$B8="",$C8=""),"",IF(OR($C8="",ISNUMBER(SEARCH(",",$C8)),ISNUMBER(SEARCH(" and ",$C8)),ISNUMBER(SEARCH("&amp;",$C8)),ISNUMBER(SEARCH("/",$C8)),ISNUMBER(SEARCH(";",$C8))),"△ Needs one accountable person",IF(AND(Portfolio!$B$7&lt;&gt;"",$E8&lt;&gt;"",$E8&lt;&gt;Portfolio!$B$7),"△ Not recorded by the director","○ Clear")))</f>
        <v/>
      </c>
      <c r="E8" s="25" t="inlineStr">
        <is>
          <t>Tomasz (PMO Head)</t>
        </is>
      </c>
      <c r="G8" s="15" t="n">
        <v>46310</v>
      </c>
      <c r="H8" s="25" t="inlineStr">
        <is>
          <t>Priya, Tomasz, Dara, Hugo, Imani</t>
        </is>
      </c>
      <c r="J8" s="15" t="n"/>
      <c r="K8" s="23" t="n"/>
      <c r="L8" s="25" t="n"/>
      <c r="M8" s="15" t="n"/>
    </row>
    <row r="9">
      <c r="A9" s="15" t="n"/>
      <c r="B9" s="23" t="n"/>
      <c r="C9" s="25" t="n"/>
      <c r="D9" s="28">
        <f>IF(AND($A9="",$B9="",$C9=""),"",IF(OR($C9="",ISNUMBER(SEARCH(",",$C9)),ISNUMBER(SEARCH(" and ",$C9)),ISNUMBER(SEARCH("&amp;",$C9)),ISNUMBER(SEARCH("/",$C9)),ISNUMBER(SEARCH(";",$C9))),"△ Needs one accountable person",IF(AND(Portfolio!$B$7&lt;&gt;"",$E9&lt;&gt;"",$E9&lt;&gt;Portfolio!$B$7),"△ Not recorded by the director","○ Clear")))</f>
        <v/>
      </c>
      <c r="E9" s="25" t="n"/>
      <c r="G9" s="15" t="n"/>
      <c r="H9" s="25" t="n"/>
      <c r="J9" s="15" t="n"/>
      <c r="K9" s="23" t="n"/>
      <c r="L9" s="25" t="n"/>
      <c r="M9" s="15" t="n"/>
    </row>
    <row r="10">
      <c r="A10" s="15" t="n"/>
      <c r="B10" s="23" t="n"/>
      <c r="C10" s="25" t="n"/>
      <c r="D10" s="28">
        <f>IF(AND($A10="",$B10="",$C10=""),"",IF(OR($C10="",ISNUMBER(SEARCH(",",$C10)),ISNUMBER(SEARCH(" and ",$C10)),ISNUMBER(SEARCH("&amp;",$C10)),ISNUMBER(SEARCH("/",$C10)),ISNUMBER(SEARCH(";",$C10))),"△ Needs one accountable person",IF(AND(Portfolio!$B$7&lt;&gt;"",$E10&lt;&gt;"",$E10&lt;&gt;Portfolio!$B$7),"△ Not recorded by the director","○ Clear")))</f>
        <v/>
      </c>
      <c r="E10" s="25" t="n"/>
      <c r="G10" s="15" t="n"/>
      <c r="H10" s="25" t="n"/>
      <c r="J10" s="15" t="n"/>
      <c r="K10" s="23" t="n"/>
      <c r="L10" s="25" t="n"/>
      <c r="M10" s="15" t="n"/>
    </row>
    <row r="11">
      <c r="A11" s="15" t="n"/>
      <c r="B11" s="23" t="n"/>
      <c r="C11" s="25" t="n"/>
      <c r="D11" s="28">
        <f>IF(AND($A11="",$B11="",$C11=""),"",IF(OR($C11="",ISNUMBER(SEARCH(",",$C11)),ISNUMBER(SEARCH(" and ",$C11)),ISNUMBER(SEARCH("&amp;",$C11)),ISNUMBER(SEARCH("/",$C11)),ISNUMBER(SEARCH(";",$C11))),"△ Needs one accountable person",IF(AND(Portfolio!$B$7&lt;&gt;"",$E11&lt;&gt;"",$E11&lt;&gt;Portfolio!$B$7),"△ Not recorded by the director","○ Clear")))</f>
        <v/>
      </c>
      <c r="E11" s="25" t="n"/>
      <c r="G11" s="15" t="n"/>
      <c r="H11" s="25" t="n"/>
      <c r="J11" s="15" t="n"/>
      <c r="K11" s="23" t="n"/>
      <c r="L11" s="25" t="n"/>
      <c r="M11" s="15" t="n"/>
    </row>
    <row r="12">
      <c r="A12" s="15" t="n"/>
      <c r="B12" s="23" t="n"/>
      <c r="C12" s="25" t="n"/>
      <c r="D12" s="28">
        <f>IF(AND($A12="",$B12="",$C12=""),"",IF(OR($C12="",ISNUMBER(SEARCH(",",$C12)),ISNUMBER(SEARCH(" and ",$C12)),ISNUMBER(SEARCH("&amp;",$C12)),ISNUMBER(SEARCH("/",$C12)),ISNUMBER(SEARCH(";",$C12))),"△ Needs one accountable person",IF(AND(Portfolio!$B$7&lt;&gt;"",$E12&lt;&gt;"",$E12&lt;&gt;Portfolio!$B$7),"△ Not recorded by the director","○ Clear")))</f>
        <v/>
      </c>
      <c r="E12" s="25" t="n"/>
      <c r="G12" s="15" t="n"/>
      <c r="H12" s="25" t="n"/>
      <c r="J12" s="15" t="n"/>
      <c r="K12" s="23" t="n"/>
      <c r="L12" s="25" t="n"/>
      <c r="M12" s="15" t="n"/>
    </row>
    <row r="13">
      <c r="A13" s="15" t="n"/>
      <c r="B13" s="23" t="n"/>
      <c r="C13" s="25" t="n"/>
      <c r="D13" s="28">
        <f>IF(AND($A13="",$B13="",$C13=""),"",IF(OR($C13="",ISNUMBER(SEARCH(",",$C13)),ISNUMBER(SEARCH(" and ",$C13)),ISNUMBER(SEARCH("&amp;",$C13)),ISNUMBER(SEARCH("/",$C13)),ISNUMBER(SEARCH(";",$C13))),"△ Needs one accountable person",IF(AND(Portfolio!$B$7&lt;&gt;"",$E13&lt;&gt;"",$E13&lt;&gt;Portfolio!$B$7),"△ Not recorded by the director","○ Clear")))</f>
        <v/>
      </c>
      <c r="E13" s="25" t="n"/>
      <c r="G13" s="15" t="n"/>
      <c r="H13" s="25" t="n"/>
      <c r="J13" s="15" t="n"/>
      <c r="K13" s="23" t="n"/>
      <c r="L13" s="25" t="n"/>
      <c r="M13" s="15" t="n"/>
    </row>
    <row r="14">
      <c r="A14" s="15" t="n"/>
      <c r="B14" s="23" t="n"/>
      <c r="C14" s="25" t="n"/>
      <c r="D14" s="28">
        <f>IF(AND($A14="",$B14="",$C14=""),"",IF(OR($C14="",ISNUMBER(SEARCH(",",$C14)),ISNUMBER(SEARCH(" and ",$C14)),ISNUMBER(SEARCH("&amp;",$C14)),ISNUMBER(SEARCH("/",$C14)),ISNUMBER(SEARCH(";",$C14))),"△ Needs one accountable person",IF(AND(Portfolio!$B$7&lt;&gt;"",$E14&lt;&gt;"",$E14&lt;&gt;Portfolio!$B$7),"△ Not recorded by the director","○ Clear")))</f>
        <v/>
      </c>
      <c r="E14" s="25" t="n"/>
      <c r="G14" s="15" t="n"/>
      <c r="H14" s="25" t="n"/>
      <c r="J14" s="15" t="n"/>
      <c r="K14" s="23" t="n"/>
      <c r="L14" s="25" t="n"/>
      <c r="M14" s="15" t="n"/>
    </row>
    <row r="15">
      <c r="A15" s="15" t="n"/>
      <c r="B15" s="23" t="n"/>
      <c r="C15" s="25" t="n"/>
      <c r="D15" s="28">
        <f>IF(AND($A15="",$B15="",$C15=""),"",IF(OR($C15="",ISNUMBER(SEARCH(",",$C15)),ISNUMBER(SEARCH(" and ",$C15)),ISNUMBER(SEARCH("&amp;",$C15)),ISNUMBER(SEARCH("/",$C15)),ISNUMBER(SEARCH(";",$C15))),"△ Needs one accountable person",IF(AND(Portfolio!$B$7&lt;&gt;"",$E15&lt;&gt;"",$E15&lt;&gt;Portfolio!$B$7),"△ Not recorded by the director","○ Clear")))</f>
        <v/>
      </c>
      <c r="E15" s="25" t="n"/>
      <c r="G15" s="15" t="n"/>
      <c r="H15" s="25" t="n"/>
      <c r="J15" s="15" t="n"/>
      <c r="K15" s="23" t="n"/>
      <c r="L15" s="25" t="n"/>
      <c r="M15" s="15" t="n"/>
    </row>
    <row r="16">
      <c r="A16" s="15" t="n"/>
      <c r="B16" s="23" t="n"/>
      <c r="C16" s="25" t="n"/>
      <c r="D16" s="28">
        <f>IF(AND($A16="",$B16="",$C16=""),"",IF(OR($C16="",ISNUMBER(SEARCH(",",$C16)),ISNUMBER(SEARCH(" and ",$C16)),ISNUMBER(SEARCH("&amp;",$C16)),ISNUMBER(SEARCH("/",$C16)),ISNUMBER(SEARCH(";",$C16))),"△ Needs one accountable person",IF(AND(Portfolio!$B$7&lt;&gt;"",$E16&lt;&gt;"",$E16&lt;&gt;Portfolio!$B$7),"△ Not recorded by the director","○ Clear")))</f>
        <v/>
      </c>
      <c r="E16" s="25" t="n"/>
      <c r="G16" s="15" t="n"/>
      <c r="H16" s="25" t="n"/>
      <c r="J16" s="15" t="n"/>
      <c r="K16" s="23" t="n"/>
      <c r="L16" s="25" t="n"/>
      <c r="M16" s="15" t="n"/>
    </row>
    <row r="17">
      <c r="A17" s="15" t="n"/>
      <c r="B17" s="23" t="n"/>
      <c r="C17" s="25" t="n"/>
      <c r="D17" s="28">
        <f>IF(AND($A17="",$B17="",$C17=""),"",IF(OR($C17="",ISNUMBER(SEARCH(",",$C17)),ISNUMBER(SEARCH(" and ",$C17)),ISNUMBER(SEARCH("&amp;",$C17)),ISNUMBER(SEARCH("/",$C17)),ISNUMBER(SEARCH(";",$C17))),"△ Needs one accountable person",IF(AND(Portfolio!$B$7&lt;&gt;"",$E17&lt;&gt;"",$E17&lt;&gt;Portfolio!$B$7),"△ Not recorded by the director","○ Clear")))</f>
        <v/>
      </c>
      <c r="E17" s="25" t="n"/>
      <c r="G17" s="15" t="n"/>
      <c r="H17" s="25" t="n"/>
      <c r="J17" s="15" t="n"/>
      <c r="K17" s="23" t="n"/>
      <c r="L17" s="25" t="n"/>
      <c r="M17" s="15" t="n"/>
    </row>
    <row r="18">
      <c r="A18" s="15" t="n"/>
      <c r="B18" s="23" t="n"/>
      <c r="C18" s="25" t="n"/>
      <c r="D18" s="28">
        <f>IF(AND($A18="",$B18="",$C18=""),"",IF(OR($C18="",ISNUMBER(SEARCH(",",$C18)),ISNUMBER(SEARCH(" and ",$C18)),ISNUMBER(SEARCH("&amp;",$C18)),ISNUMBER(SEARCH("/",$C18)),ISNUMBER(SEARCH(";",$C18))),"△ Needs one accountable person",IF(AND(Portfolio!$B$7&lt;&gt;"",$E18&lt;&gt;"",$E18&lt;&gt;Portfolio!$B$7),"△ Not recorded by the director","○ Clear")))</f>
        <v/>
      </c>
      <c r="E18" s="25" t="n"/>
      <c r="G18" s="15" t="n"/>
      <c r="H18" s="25" t="n"/>
      <c r="J18" s="15" t="n"/>
      <c r="K18" s="23" t="n"/>
      <c r="L18" s="25" t="n"/>
      <c r="M18" s="15" t="n"/>
    </row>
    <row r="19">
      <c r="A19" s="15" t="n"/>
      <c r="B19" s="23" t="n"/>
      <c r="C19" s="25" t="n"/>
      <c r="D19" s="28">
        <f>IF(AND($A19="",$B19="",$C19=""),"",IF(OR($C19="",ISNUMBER(SEARCH(",",$C19)),ISNUMBER(SEARCH(" and ",$C19)),ISNUMBER(SEARCH("&amp;",$C19)),ISNUMBER(SEARCH("/",$C19)),ISNUMBER(SEARCH(";",$C19))),"△ Needs one accountable person",IF(AND(Portfolio!$B$7&lt;&gt;"",$E19&lt;&gt;"",$E19&lt;&gt;Portfolio!$B$7),"△ Not recorded by the director","○ Clear")))</f>
        <v/>
      </c>
      <c r="E19" s="25" t="n"/>
      <c r="G19" s="15" t="n"/>
      <c r="H19" s="25" t="n"/>
      <c r="J19" s="15" t="n"/>
      <c r="K19" s="23" t="n"/>
      <c r="L19" s="25" t="n"/>
      <c r="M19" s="15" t="n"/>
    </row>
    <row r="20">
      <c r="A20" s="15" t="n"/>
      <c r="B20" s="23" t="n"/>
      <c r="C20" s="25" t="n"/>
      <c r="D20" s="28">
        <f>IF(AND($A20="",$B20="",$C20=""),"",IF(OR($C20="",ISNUMBER(SEARCH(",",$C20)),ISNUMBER(SEARCH(" and ",$C20)),ISNUMBER(SEARCH("&amp;",$C20)),ISNUMBER(SEARCH("/",$C20)),ISNUMBER(SEARCH(";",$C20))),"△ Needs one accountable person",IF(AND(Portfolio!$B$7&lt;&gt;"",$E20&lt;&gt;"",$E20&lt;&gt;Portfolio!$B$7),"△ Not recorded by the director","○ Clear")))</f>
        <v/>
      </c>
      <c r="E20" s="25" t="n"/>
      <c r="G20" s="15" t="n"/>
      <c r="H20" s="25" t="n"/>
      <c r="J20" s="15" t="n"/>
      <c r="K20" s="23" t="n"/>
      <c r="L20" s="25" t="n"/>
      <c r="M20" s="15" t="n"/>
    </row>
    <row r="21">
      <c r="A21" s="15" t="n"/>
      <c r="B21" s="23" t="n"/>
      <c r="C21" s="25" t="n"/>
      <c r="D21" s="28">
        <f>IF(AND($A21="",$B21="",$C21=""),"",IF(OR($C21="",ISNUMBER(SEARCH(",",$C21)),ISNUMBER(SEARCH(" and ",$C21)),ISNUMBER(SEARCH("&amp;",$C21)),ISNUMBER(SEARCH("/",$C21)),ISNUMBER(SEARCH(";",$C21))),"△ Needs one accountable person",IF(AND(Portfolio!$B$7&lt;&gt;"",$E21&lt;&gt;"",$E21&lt;&gt;Portfolio!$B$7),"△ Not recorded by the director","○ Clear")))</f>
        <v/>
      </c>
      <c r="E21" s="25" t="n"/>
      <c r="G21" s="15" t="n"/>
      <c r="H21" s="25" t="n"/>
      <c r="J21" s="15" t="n"/>
      <c r="K21" s="23" t="n"/>
      <c r="L21" s="25" t="n"/>
      <c r="M21" s="15" t="n"/>
    </row>
    <row r="22">
      <c r="A22" s="15" t="n"/>
      <c r="B22" s="23" t="n"/>
      <c r="C22" s="25" t="n"/>
      <c r="D22" s="28">
        <f>IF(AND($A22="",$B22="",$C22=""),"",IF(OR($C22="",ISNUMBER(SEARCH(",",$C22)),ISNUMBER(SEARCH(" and ",$C22)),ISNUMBER(SEARCH("&amp;",$C22)),ISNUMBER(SEARCH("/",$C22)),ISNUMBER(SEARCH(";",$C22))),"△ Needs one accountable person",IF(AND(Portfolio!$B$7&lt;&gt;"",$E22&lt;&gt;"",$E22&lt;&gt;Portfolio!$B$7),"△ Not recorded by the director","○ Clear")))</f>
        <v/>
      </c>
      <c r="E22" s="25" t="n"/>
      <c r="G22" s="15" t="n"/>
      <c r="H22" s="25" t="n"/>
      <c r="J22" s="15" t="n"/>
      <c r="K22" s="23" t="n"/>
      <c r="L22" s="25" t="n"/>
      <c r="M22" s="15" t="n"/>
    </row>
    <row r="23">
      <c r="A23" s="15" t="n"/>
      <c r="B23" s="23" t="n"/>
      <c r="C23" s="25" t="n"/>
      <c r="D23" s="28">
        <f>IF(AND($A23="",$B23="",$C23=""),"",IF(OR($C23="",ISNUMBER(SEARCH(",",$C23)),ISNUMBER(SEARCH(" and ",$C23)),ISNUMBER(SEARCH("&amp;",$C23)),ISNUMBER(SEARCH("/",$C23)),ISNUMBER(SEARCH(";",$C23))),"△ Needs one accountable person",IF(AND(Portfolio!$B$7&lt;&gt;"",$E23&lt;&gt;"",$E23&lt;&gt;Portfolio!$B$7),"△ Not recorded by the director","○ Clear")))</f>
        <v/>
      </c>
      <c r="E23" s="25" t="n"/>
      <c r="G23" s="15" t="n"/>
      <c r="H23" s="25" t="n"/>
      <c r="J23" s="15" t="n"/>
      <c r="K23" s="23" t="n"/>
      <c r="L23" s="25" t="n"/>
      <c r="M23" s="15" t="n"/>
    </row>
    <row r="24">
      <c r="A24" s="15" t="n"/>
      <c r="B24" s="23" t="n"/>
      <c r="C24" s="25" t="n"/>
      <c r="D24" s="28">
        <f>IF(AND($A24="",$B24="",$C24=""),"",IF(OR($C24="",ISNUMBER(SEARCH(",",$C24)),ISNUMBER(SEARCH(" and ",$C24)),ISNUMBER(SEARCH("&amp;",$C24)),ISNUMBER(SEARCH("/",$C24)),ISNUMBER(SEARCH(";",$C24))),"△ Needs one accountable person",IF(AND(Portfolio!$B$7&lt;&gt;"",$E24&lt;&gt;"",$E24&lt;&gt;Portfolio!$B$7),"△ Not recorded by the director","○ Clear")))</f>
        <v/>
      </c>
      <c r="E24" s="25" t="n"/>
      <c r="G24" s="15" t="n"/>
      <c r="H24" s="25" t="n"/>
      <c r="J24" s="15" t="n"/>
      <c r="K24" s="23" t="n"/>
      <c r="L24" s="25" t="n"/>
      <c r="M24" s="15" t="n"/>
    </row>
    <row r="25">
      <c r="A25" s="15" t="n"/>
      <c r="B25" s="23" t="n"/>
      <c r="C25" s="25" t="n"/>
      <c r="D25" s="28">
        <f>IF(AND($A25="",$B25="",$C25=""),"",IF(OR($C25="",ISNUMBER(SEARCH(",",$C25)),ISNUMBER(SEARCH(" and ",$C25)),ISNUMBER(SEARCH("&amp;",$C25)),ISNUMBER(SEARCH("/",$C25)),ISNUMBER(SEARCH(";",$C25))),"△ Needs one accountable person",IF(AND(Portfolio!$B$7&lt;&gt;"",$E25&lt;&gt;"",$E25&lt;&gt;Portfolio!$B$7),"△ Not recorded by the director","○ Clear")))</f>
        <v/>
      </c>
      <c r="E25" s="25" t="n"/>
      <c r="G25" s="15" t="n"/>
      <c r="H25" s="25" t="n"/>
      <c r="J25" s="15" t="n"/>
      <c r="K25" s="23" t="n"/>
      <c r="L25" s="25" t="n"/>
      <c r="M25" s="15" t="n"/>
    </row>
    <row r="26">
      <c r="A26" s="15" t="n"/>
      <c r="B26" s="23" t="n"/>
      <c r="C26" s="25" t="n"/>
      <c r="D26" s="28">
        <f>IF(AND($A26="",$B26="",$C26=""),"",IF(OR($C26="",ISNUMBER(SEARCH(",",$C26)),ISNUMBER(SEARCH(" and ",$C26)),ISNUMBER(SEARCH("&amp;",$C26)),ISNUMBER(SEARCH("/",$C26)),ISNUMBER(SEARCH(";",$C26))),"△ Needs one accountable person",IF(AND(Portfolio!$B$7&lt;&gt;"",$E26&lt;&gt;"",$E26&lt;&gt;Portfolio!$B$7),"△ Not recorded by the director","○ Clear")))</f>
        <v/>
      </c>
      <c r="E26" s="25" t="n"/>
      <c r="G26" s="15" t="n"/>
      <c r="H26" s="25" t="n"/>
      <c r="J26" s="15" t="n"/>
      <c r="K26" s="23" t="n"/>
      <c r="L26" s="25" t="n"/>
      <c r="M26" s="15" t="n"/>
    </row>
    <row r="27">
      <c r="A27" s="15" t="n"/>
      <c r="B27" s="23" t="n"/>
      <c r="C27" s="25" t="n"/>
      <c r="D27" s="28">
        <f>IF(AND($A27="",$B27="",$C27=""),"",IF(OR($C27="",ISNUMBER(SEARCH(",",$C27)),ISNUMBER(SEARCH(" and ",$C27)),ISNUMBER(SEARCH("&amp;",$C27)),ISNUMBER(SEARCH("/",$C27)),ISNUMBER(SEARCH(";",$C27))),"△ Needs one accountable person",IF(AND(Portfolio!$B$7&lt;&gt;"",$E27&lt;&gt;"",$E27&lt;&gt;Portfolio!$B$7),"△ Not recorded by the director","○ Clear")))</f>
        <v/>
      </c>
      <c r="E27" s="25" t="n"/>
      <c r="G27" s="15" t="n"/>
      <c r="H27" s="25" t="n"/>
      <c r="J27" s="15" t="n"/>
      <c r="K27" s="23" t="n"/>
      <c r="L27" s="25" t="n"/>
      <c r="M27" s="15" t="n"/>
    </row>
    <row r="28">
      <c r="A28" s="15" t="n"/>
      <c r="B28" s="23" t="n"/>
      <c r="C28" s="25" t="n"/>
      <c r="D28" s="28">
        <f>IF(AND($A28="",$B28="",$C28=""),"",IF(OR($C28="",ISNUMBER(SEARCH(",",$C28)),ISNUMBER(SEARCH(" and ",$C28)),ISNUMBER(SEARCH("&amp;",$C28)),ISNUMBER(SEARCH("/",$C28)),ISNUMBER(SEARCH(";",$C28))),"△ Needs one accountable person",IF(AND(Portfolio!$B$7&lt;&gt;"",$E28&lt;&gt;"",$E28&lt;&gt;Portfolio!$B$7),"△ Not recorded by the director","○ Clear")))</f>
        <v/>
      </c>
      <c r="E28" s="25" t="n"/>
      <c r="G28" s="15" t="n"/>
      <c r="H28" s="25" t="n"/>
      <c r="J28" s="15" t="n"/>
      <c r="K28" s="23" t="n"/>
      <c r="L28" s="25" t="n"/>
      <c r="M28" s="15" t="n"/>
    </row>
    <row r="29">
      <c r="A29" s="15" t="n"/>
      <c r="B29" s="23" t="n"/>
      <c r="C29" s="25" t="n"/>
      <c r="D29" s="28">
        <f>IF(AND($A29="",$B29="",$C29=""),"",IF(OR($C29="",ISNUMBER(SEARCH(",",$C29)),ISNUMBER(SEARCH(" and ",$C29)),ISNUMBER(SEARCH("&amp;",$C29)),ISNUMBER(SEARCH("/",$C29)),ISNUMBER(SEARCH(";",$C29))),"△ Needs one accountable person",IF(AND(Portfolio!$B$7&lt;&gt;"",$E29&lt;&gt;"",$E29&lt;&gt;Portfolio!$B$7),"△ Not recorded by the director","○ Clear")))</f>
        <v/>
      </c>
      <c r="E29" s="25" t="n"/>
      <c r="G29" s="15" t="n"/>
      <c r="H29" s="25" t="n"/>
      <c r="J29" s="15" t="n"/>
      <c r="K29" s="23" t="n"/>
      <c r="L29" s="25" t="n"/>
      <c r="M29" s="15" t="n"/>
    </row>
    <row r="30">
      <c r="A30" s="15" t="n"/>
      <c r="B30" s="23" t="n"/>
      <c r="C30" s="25" t="n"/>
      <c r="D30" s="28">
        <f>IF(AND($A30="",$B30="",$C30=""),"",IF(OR($C30="",ISNUMBER(SEARCH(",",$C30)),ISNUMBER(SEARCH(" and ",$C30)),ISNUMBER(SEARCH("&amp;",$C30)),ISNUMBER(SEARCH("/",$C30)),ISNUMBER(SEARCH(";",$C30))),"△ Needs one accountable person",IF(AND(Portfolio!$B$7&lt;&gt;"",$E30&lt;&gt;"",$E30&lt;&gt;Portfolio!$B$7),"△ Not recorded by the director","○ Clear")))</f>
        <v/>
      </c>
      <c r="E30" s="25" t="n"/>
      <c r="G30" s="15" t="n"/>
      <c r="H30" s="25" t="n"/>
      <c r="J30" s="15" t="n"/>
      <c r="K30" s="23" t="n"/>
      <c r="L30" s="25" t="n"/>
      <c r="M30" s="15" t="n"/>
    </row>
    <row r="31">
      <c r="A31" s="15" t="n"/>
      <c r="B31" s="23" t="n"/>
      <c r="C31" s="25" t="n"/>
      <c r="D31" s="28">
        <f>IF(AND($A31="",$B31="",$C31=""),"",IF(OR($C31="",ISNUMBER(SEARCH(",",$C31)),ISNUMBER(SEARCH(" and ",$C31)),ISNUMBER(SEARCH("&amp;",$C31)),ISNUMBER(SEARCH("/",$C31)),ISNUMBER(SEARCH(";",$C31))),"△ Needs one accountable person",IF(AND(Portfolio!$B$7&lt;&gt;"",$E31&lt;&gt;"",$E31&lt;&gt;Portfolio!$B$7),"△ Not recorded by the director","○ Clear")))</f>
        <v/>
      </c>
      <c r="E31" s="25" t="n"/>
      <c r="G31" s="15" t="n"/>
      <c r="H31" s="25" t="n"/>
      <c r="J31" s="15" t="n"/>
      <c r="K31" s="23" t="n"/>
      <c r="L31" s="25" t="n"/>
      <c r="M31" s="15" t="n"/>
    </row>
    <row r="32">
      <c r="A32" s="15" t="n"/>
      <c r="B32" s="23" t="n"/>
      <c r="C32" s="25" t="n"/>
      <c r="D32" s="28">
        <f>IF(AND($A32="",$B32="",$C32=""),"",IF(OR($C32="",ISNUMBER(SEARCH(",",$C32)),ISNUMBER(SEARCH(" and ",$C32)),ISNUMBER(SEARCH("&amp;",$C32)),ISNUMBER(SEARCH("/",$C32)),ISNUMBER(SEARCH(";",$C32))),"△ Needs one accountable person",IF(AND(Portfolio!$B$7&lt;&gt;"",$E32&lt;&gt;"",$E32&lt;&gt;Portfolio!$B$7),"△ Not recorded by the director","○ Clear")))</f>
        <v/>
      </c>
      <c r="E32" s="25" t="n"/>
      <c r="G32" s="15" t="n"/>
      <c r="H32" s="25" t="n"/>
      <c r="J32" s="15" t="n"/>
      <c r="K32" s="23" t="n"/>
      <c r="L32" s="25" t="n"/>
      <c r="M32" s="15" t="n"/>
    </row>
    <row r="33">
      <c r="A33" s="15" t="n"/>
      <c r="B33" s="23" t="n"/>
      <c r="C33" s="25" t="n"/>
      <c r="D33" s="28">
        <f>IF(AND($A33="",$B33="",$C33=""),"",IF(OR($C33="",ISNUMBER(SEARCH(",",$C33)),ISNUMBER(SEARCH(" and ",$C33)),ISNUMBER(SEARCH("&amp;",$C33)),ISNUMBER(SEARCH("/",$C33)),ISNUMBER(SEARCH(";",$C33))),"△ Needs one accountable person",IF(AND(Portfolio!$B$7&lt;&gt;"",$E33&lt;&gt;"",$E33&lt;&gt;Portfolio!$B$7),"△ Not recorded by the director","○ Clear")))</f>
        <v/>
      </c>
      <c r="E33" s="25" t="n"/>
      <c r="G33" s="15" t="n"/>
      <c r="H33" s="25" t="n"/>
      <c r="J33" s="15" t="n"/>
      <c r="K33" s="23" t="n"/>
      <c r="L33" s="25" t="n"/>
      <c r="M33" s="15" t="n"/>
    </row>
    <row r="34">
      <c r="A34" s="15" t="n"/>
      <c r="B34" s="23" t="n"/>
      <c r="C34" s="25" t="n"/>
      <c r="D34" s="28">
        <f>IF(AND($A34="",$B34="",$C34=""),"",IF(OR($C34="",ISNUMBER(SEARCH(",",$C34)),ISNUMBER(SEARCH(" and ",$C34)),ISNUMBER(SEARCH("&amp;",$C34)),ISNUMBER(SEARCH("/",$C34)),ISNUMBER(SEARCH(";",$C34))),"△ Needs one accountable person",IF(AND(Portfolio!$B$7&lt;&gt;"",$E34&lt;&gt;"",$E34&lt;&gt;Portfolio!$B$7),"△ Not recorded by the director","○ Clear")))</f>
        <v/>
      </c>
      <c r="E34" s="25" t="n"/>
      <c r="G34" s="15" t="n"/>
      <c r="H34" s="25" t="n"/>
      <c r="J34" s="15" t="n"/>
      <c r="K34" s="23" t="n"/>
      <c r="L34" s="25" t="n"/>
      <c r="M34" s="15" t="n"/>
    </row>
    <row r="35">
      <c r="A35" s="15" t="n"/>
      <c r="B35" s="23" t="n"/>
      <c r="C35" s="25" t="n"/>
      <c r="D35" s="28">
        <f>IF(AND($A35="",$B35="",$C35=""),"",IF(OR($C35="",ISNUMBER(SEARCH(",",$C35)),ISNUMBER(SEARCH(" and ",$C35)),ISNUMBER(SEARCH("&amp;",$C35)),ISNUMBER(SEARCH("/",$C35)),ISNUMBER(SEARCH(";",$C35))),"△ Needs one accountable person",IF(AND(Portfolio!$B$7&lt;&gt;"",$E35&lt;&gt;"",$E35&lt;&gt;Portfolio!$B$7),"△ Not recorded by the director","○ Clear")))</f>
        <v/>
      </c>
      <c r="E35" s="25" t="n"/>
      <c r="G35" s="15" t="n"/>
      <c r="H35" s="25" t="n"/>
      <c r="J35" s="15" t="n"/>
      <c r="K35" s="23" t="n"/>
      <c r="L35" s="25" t="n"/>
      <c r="M35" s="15" t="n"/>
    </row>
    <row r="36">
      <c r="A36" s="15" t="n"/>
      <c r="B36" s="23" t="n"/>
      <c r="C36" s="25" t="n"/>
      <c r="D36" s="28">
        <f>IF(AND($A36="",$B36="",$C36=""),"",IF(OR($C36="",ISNUMBER(SEARCH(",",$C36)),ISNUMBER(SEARCH(" and ",$C36)),ISNUMBER(SEARCH("&amp;",$C36)),ISNUMBER(SEARCH("/",$C36)),ISNUMBER(SEARCH(";",$C36))),"△ Needs one accountable person",IF(AND(Portfolio!$B$7&lt;&gt;"",$E36&lt;&gt;"",$E36&lt;&gt;Portfolio!$B$7),"△ Not recorded by the director","○ Clear")))</f>
        <v/>
      </c>
      <c r="E36" s="25" t="n"/>
      <c r="G36" s="15" t="n"/>
      <c r="H36" s="25" t="n"/>
      <c r="J36" s="15" t="n"/>
      <c r="K36" s="23" t="n"/>
      <c r="L36" s="25" t="n"/>
      <c r="M36" s="15" t="n"/>
    </row>
    <row r="37">
      <c r="A37" s="15" t="n"/>
      <c r="B37" s="23" t="n"/>
      <c r="C37" s="25" t="n"/>
      <c r="D37" s="28">
        <f>IF(AND($A37="",$B37="",$C37=""),"",IF(OR($C37="",ISNUMBER(SEARCH(",",$C37)),ISNUMBER(SEARCH(" and ",$C37)),ISNUMBER(SEARCH("&amp;",$C37)),ISNUMBER(SEARCH("/",$C37)),ISNUMBER(SEARCH(";",$C37))),"△ Needs one accountable person",IF(AND(Portfolio!$B$7&lt;&gt;"",$E37&lt;&gt;"",$E37&lt;&gt;Portfolio!$B$7),"△ Not recorded by the director","○ Clear")))</f>
        <v/>
      </c>
      <c r="E37" s="25" t="n"/>
      <c r="G37" s="15" t="n"/>
      <c r="H37" s="25" t="n"/>
      <c r="J37" s="15" t="n"/>
      <c r="K37" s="23" t="n"/>
      <c r="L37" s="25" t="n"/>
      <c r="M37" s="15" t="n"/>
    </row>
    <row r="38">
      <c r="A38" s="15" t="n"/>
      <c r="B38" s="23" t="n"/>
      <c r="C38" s="25" t="n"/>
      <c r="D38" s="28">
        <f>IF(AND($A38="",$B38="",$C38=""),"",IF(OR($C38="",ISNUMBER(SEARCH(",",$C38)),ISNUMBER(SEARCH(" and ",$C38)),ISNUMBER(SEARCH("&amp;",$C38)),ISNUMBER(SEARCH("/",$C38)),ISNUMBER(SEARCH(";",$C38))),"△ Needs one accountable person",IF(AND(Portfolio!$B$7&lt;&gt;"",$E38&lt;&gt;"",$E38&lt;&gt;Portfolio!$B$7),"△ Not recorded by the director","○ Clear")))</f>
        <v/>
      </c>
      <c r="E38" s="25" t="n"/>
      <c r="G38" s="15" t="n"/>
      <c r="H38" s="25" t="n"/>
      <c r="J38" s="15" t="n"/>
      <c r="K38" s="23" t="n"/>
      <c r="L38" s="25" t="n"/>
      <c r="M38" s="15" t="n"/>
    </row>
    <row r="39">
      <c r="A39" s="15" t="n"/>
      <c r="B39" s="23" t="n"/>
      <c r="C39" s="25" t="n"/>
      <c r="D39" s="28">
        <f>IF(AND($A39="",$B39="",$C39=""),"",IF(OR($C39="",ISNUMBER(SEARCH(",",$C39)),ISNUMBER(SEARCH(" and ",$C39)),ISNUMBER(SEARCH("&amp;",$C39)),ISNUMBER(SEARCH("/",$C39)),ISNUMBER(SEARCH(";",$C39))),"△ Needs one accountable person",IF(AND(Portfolio!$B$7&lt;&gt;"",$E39&lt;&gt;"",$E39&lt;&gt;Portfolio!$B$7),"△ Not recorded by the director","○ Clear")))</f>
        <v/>
      </c>
      <c r="E39" s="25" t="n"/>
      <c r="G39" s="15" t="n"/>
      <c r="H39" s="25" t="n"/>
      <c r="J39" s="15" t="n"/>
      <c r="K39" s="23" t="n"/>
      <c r="L39" s="25" t="n"/>
      <c r="M39" s="15" t="n"/>
    </row>
    <row r="40">
      <c r="A40" s="15" t="n"/>
      <c r="B40" s="23" t="n"/>
      <c r="C40" s="25" t="n"/>
      <c r="D40" s="28">
        <f>IF(AND($A40="",$B40="",$C40=""),"",IF(OR($C40="",ISNUMBER(SEARCH(",",$C40)),ISNUMBER(SEARCH(" and ",$C40)),ISNUMBER(SEARCH("&amp;",$C40)),ISNUMBER(SEARCH("/",$C40)),ISNUMBER(SEARCH(";",$C40))),"△ Needs one accountable person",IF(AND(Portfolio!$B$7&lt;&gt;"",$E40&lt;&gt;"",$E40&lt;&gt;Portfolio!$B$7),"△ Not recorded by the director","○ Clear")))</f>
        <v/>
      </c>
      <c r="E40" s="25" t="n"/>
      <c r="G40" s="15" t="n"/>
      <c r="H40" s="25" t="n"/>
      <c r="J40" s="15" t="n"/>
      <c r="K40" s="23" t="n"/>
      <c r="L40" s="25" t="n"/>
      <c r="M40" s="15" t="n"/>
    </row>
    <row r="41">
      <c r="A41" s="15" t="n"/>
      <c r="B41" s="23" t="n"/>
      <c r="C41" s="25" t="n"/>
      <c r="D41" s="28">
        <f>IF(AND($A41="",$B41="",$C41=""),"",IF(OR($C41="",ISNUMBER(SEARCH(",",$C41)),ISNUMBER(SEARCH(" and ",$C41)),ISNUMBER(SEARCH("&amp;",$C41)),ISNUMBER(SEARCH("/",$C41)),ISNUMBER(SEARCH(";",$C41))),"△ Needs one accountable person",IF(AND(Portfolio!$B$7&lt;&gt;"",$E41&lt;&gt;"",$E41&lt;&gt;Portfolio!$B$7),"△ Not recorded by the director","○ Clear")))</f>
        <v/>
      </c>
      <c r="E41" s="25" t="n"/>
      <c r="G41" s="15" t="n"/>
      <c r="H41" s="25" t="n"/>
      <c r="J41" s="15" t="n"/>
      <c r="K41" s="23" t="n"/>
      <c r="L41" s="25" t="n"/>
      <c r="M41" s="15" t="n"/>
    </row>
    <row r="42">
      <c r="A42" s="15" t="n"/>
      <c r="B42" s="23" t="n"/>
      <c r="C42" s="25" t="n"/>
      <c r="D42" s="28">
        <f>IF(AND($A42="",$B42="",$C42=""),"",IF(OR($C42="",ISNUMBER(SEARCH(",",$C42)),ISNUMBER(SEARCH(" and ",$C42)),ISNUMBER(SEARCH("&amp;",$C42)),ISNUMBER(SEARCH("/",$C42)),ISNUMBER(SEARCH(";",$C42))),"△ Needs one accountable person",IF(AND(Portfolio!$B$7&lt;&gt;"",$E42&lt;&gt;"",$E42&lt;&gt;Portfolio!$B$7),"△ Not recorded by the director","○ Clear")))</f>
        <v/>
      </c>
      <c r="E42" s="25" t="n"/>
      <c r="G42" s="15" t="n"/>
      <c r="H42" s="25" t="n"/>
      <c r="J42" s="15" t="n"/>
      <c r="K42" s="23" t="n"/>
      <c r="L42" s="25" t="n"/>
      <c r="M42" s="15" t="n"/>
    </row>
    <row r="43">
      <c r="A43" s="15" t="n"/>
      <c r="B43" s="23" t="n"/>
      <c r="C43" s="25" t="n"/>
      <c r="D43" s="28">
        <f>IF(AND($A43="",$B43="",$C43=""),"",IF(OR($C43="",ISNUMBER(SEARCH(",",$C43)),ISNUMBER(SEARCH(" and ",$C43)),ISNUMBER(SEARCH("&amp;",$C43)),ISNUMBER(SEARCH("/",$C43)),ISNUMBER(SEARCH(";",$C43))),"△ Needs one accountable person",IF(AND(Portfolio!$B$7&lt;&gt;"",$E43&lt;&gt;"",$E43&lt;&gt;Portfolio!$B$7),"△ Not recorded by the director","○ Clear")))</f>
        <v/>
      </c>
      <c r="E43" s="25" t="n"/>
      <c r="G43" s="15" t="n"/>
      <c r="H43" s="25" t="n"/>
      <c r="J43" s="15" t="n"/>
      <c r="K43" s="23" t="n"/>
      <c r="L43" s="25" t="n"/>
      <c r="M43" s="15" t="n"/>
    </row>
    <row r="44">
      <c r="A44" s="15" t="n"/>
      <c r="B44" s="23" t="n"/>
      <c r="C44" s="25" t="n"/>
      <c r="D44" s="28">
        <f>IF(AND($A44="",$B44="",$C44=""),"",IF(OR($C44="",ISNUMBER(SEARCH(",",$C44)),ISNUMBER(SEARCH(" and ",$C44)),ISNUMBER(SEARCH("&amp;",$C44)),ISNUMBER(SEARCH("/",$C44)),ISNUMBER(SEARCH(";",$C44))),"△ Needs one accountable person",IF(AND(Portfolio!$B$7&lt;&gt;"",$E44&lt;&gt;"",$E44&lt;&gt;Portfolio!$B$7),"△ Not recorded by the director","○ Clear")))</f>
        <v/>
      </c>
      <c r="E44" s="25" t="n"/>
      <c r="G44" s="15" t="n"/>
      <c r="H44" s="25" t="n"/>
      <c r="J44" s="15" t="n"/>
      <c r="K44" s="23" t="n"/>
      <c r="L44" s="25" t="n"/>
      <c r="M44" s="15" t="n"/>
    </row>
    <row r="45">
      <c r="A45" s="15" t="n"/>
      <c r="B45" s="23" t="n"/>
      <c r="C45" s="25" t="n"/>
      <c r="D45" s="28">
        <f>IF(AND($A45="",$B45="",$C45=""),"",IF(OR($C45="",ISNUMBER(SEARCH(",",$C45)),ISNUMBER(SEARCH(" and ",$C45)),ISNUMBER(SEARCH("&amp;",$C45)),ISNUMBER(SEARCH("/",$C45)),ISNUMBER(SEARCH(";",$C45))),"△ Needs one accountable person",IF(AND(Portfolio!$B$7&lt;&gt;"",$E45&lt;&gt;"",$E45&lt;&gt;Portfolio!$B$7),"△ Not recorded by the director","○ Clear")))</f>
        <v/>
      </c>
      <c r="E45" s="25" t="n"/>
      <c r="G45" s="15" t="n"/>
      <c r="H45" s="25" t="n"/>
      <c r="J45" s="15" t="n"/>
      <c r="K45" s="23" t="n"/>
      <c r="L45" s="25" t="n"/>
      <c r="M45" s="15" t="n"/>
    </row>
    <row r="46">
      <c r="A46" s="15" t="n"/>
      <c r="B46" s="23" t="n"/>
      <c r="C46" s="25" t="n"/>
      <c r="D46" s="28">
        <f>IF(AND($A46="",$B46="",$C46=""),"",IF(OR($C46="",ISNUMBER(SEARCH(",",$C46)),ISNUMBER(SEARCH(" and ",$C46)),ISNUMBER(SEARCH("&amp;",$C46)),ISNUMBER(SEARCH("/",$C46)),ISNUMBER(SEARCH(";",$C46))),"△ Needs one accountable person",IF(AND(Portfolio!$B$7&lt;&gt;"",$E46&lt;&gt;"",$E46&lt;&gt;Portfolio!$B$7),"△ Not recorded by the director","○ Clear")))</f>
        <v/>
      </c>
      <c r="E46" s="25" t="n"/>
      <c r="G46" s="15" t="n"/>
      <c r="H46" s="25" t="n"/>
      <c r="J46" s="15" t="n"/>
      <c r="K46" s="23" t="n"/>
      <c r="L46" s="25" t="n"/>
      <c r="M46" s="15" t="n"/>
    </row>
    <row r="47">
      <c r="A47" s="15" t="n"/>
      <c r="B47" s="23" t="n"/>
      <c r="C47" s="25" t="n"/>
      <c r="D47" s="28">
        <f>IF(AND($A47="",$B47="",$C47=""),"",IF(OR($C47="",ISNUMBER(SEARCH(",",$C47)),ISNUMBER(SEARCH(" and ",$C47)),ISNUMBER(SEARCH("&amp;",$C47)),ISNUMBER(SEARCH("/",$C47)),ISNUMBER(SEARCH(";",$C47))),"△ Needs one accountable person",IF(AND(Portfolio!$B$7&lt;&gt;"",$E47&lt;&gt;"",$E47&lt;&gt;Portfolio!$B$7),"△ Not recorded by the director","○ Clear")))</f>
        <v/>
      </c>
      <c r="E47" s="25" t="n"/>
      <c r="G47" s="15" t="n"/>
      <c r="H47" s="25" t="n"/>
      <c r="J47" s="15" t="n"/>
      <c r="K47" s="23" t="n"/>
      <c r="L47" s="25" t="n"/>
      <c r="M47" s="15" t="n"/>
    </row>
    <row r="48">
      <c r="A48" s="15" t="n"/>
      <c r="B48" s="23" t="n"/>
      <c r="C48" s="25" t="n"/>
      <c r="D48" s="28">
        <f>IF(AND($A48="",$B48="",$C48=""),"",IF(OR($C48="",ISNUMBER(SEARCH(",",$C48)),ISNUMBER(SEARCH(" and ",$C48)),ISNUMBER(SEARCH("&amp;",$C48)),ISNUMBER(SEARCH("/",$C48)),ISNUMBER(SEARCH(";",$C48))),"△ Needs one accountable person",IF(AND(Portfolio!$B$7&lt;&gt;"",$E48&lt;&gt;"",$E48&lt;&gt;Portfolio!$B$7),"△ Not recorded by the director","○ Clear")))</f>
        <v/>
      </c>
      <c r="E48" s="25" t="n"/>
      <c r="G48" s="15" t="n"/>
      <c r="H48" s="25" t="n"/>
      <c r="J48" s="15" t="n"/>
      <c r="K48" s="23" t="n"/>
      <c r="L48" s="25" t="n"/>
      <c r="M48" s="15" t="n"/>
    </row>
    <row r="49">
      <c r="A49" s="15" t="n"/>
      <c r="B49" s="23" t="n"/>
      <c r="C49" s="25" t="n"/>
      <c r="D49" s="28">
        <f>IF(AND($A49="",$B49="",$C49=""),"",IF(OR($C49="",ISNUMBER(SEARCH(",",$C49)),ISNUMBER(SEARCH(" and ",$C49)),ISNUMBER(SEARCH("&amp;",$C49)),ISNUMBER(SEARCH("/",$C49)),ISNUMBER(SEARCH(";",$C49))),"△ Needs one accountable person",IF(AND(Portfolio!$B$7&lt;&gt;"",$E49&lt;&gt;"",$E49&lt;&gt;Portfolio!$B$7),"△ Not recorded by the director","○ Clear")))</f>
        <v/>
      </c>
      <c r="E49" s="25" t="n"/>
      <c r="G49" s="15" t="n"/>
      <c r="H49" s="25" t="n"/>
      <c r="J49" s="15" t="n"/>
      <c r="K49" s="23" t="n"/>
      <c r="L49" s="25" t="n"/>
      <c r="M49" s="15" t="n"/>
    </row>
    <row r="50">
      <c r="A50" s="15" t="n"/>
      <c r="B50" s="23" t="n"/>
      <c r="C50" s="25" t="n"/>
      <c r="D50" s="28">
        <f>IF(AND($A50="",$B50="",$C50=""),"",IF(OR($C50="",ISNUMBER(SEARCH(",",$C50)),ISNUMBER(SEARCH(" and ",$C50)),ISNUMBER(SEARCH("&amp;",$C50)),ISNUMBER(SEARCH("/",$C50)),ISNUMBER(SEARCH(";",$C50))),"△ Needs one accountable person",IF(AND(Portfolio!$B$7&lt;&gt;"",$E50&lt;&gt;"",$E50&lt;&gt;Portfolio!$B$7),"△ Not recorded by the director","○ Clear")))</f>
        <v/>
      </c>
      <c r="E50" s="25" t="n"/>
      <c r="G50" s="15" t="n"/>
      <c r="H50" s="25" t="n"/>
      <c r="J50" s="15" t="n"/>
      <c r="K50" s="23" t="n"/>
      <c r="L50" s="25" t="n"/>
      <c r="M50" s="15" t="n"/>
    </row>
    <row r="51">
      <c r="A51" s="15" t="n"/>
      <c r="B51" s="23" t="n"/>
      <c r="C51" s="25" t="n"/>
      <c r="D51" s="28">
        <f>IF(AND($A51="",$B51="",$C51=""),"",IF(OR($C51="",ISNUMBER(SEARCH(",",$C51)),ISNUMBER(SEARCH(" and ",$C51)),ISNUMBER(SEARCH("&amp;",$C51)),ISNUMBER(SEARCH("/",$C51)),ISNUMBER(SEARCH(";",$C51))),"△ Needs one accountable person",IF(AND(Portfolio!$B$7&lt;&gt;"",$E51&lt;&gt;"",$E51&lt;&gt;Portfolio!$B$7),"△ Not recorded by the director","○ Clear")))</f>
        <v/>
      </c>
      <c r="E51" s="25" t="n"/>
      <c r="G51" s="15" t="n"/>
      <c r="H51" s="25" t="n"/>
      <c r="J51" s="15" t="n"/>
      <c r="K51" s="23" t="n"/>
      <c r="L51" s="25" t="n"/>
      <c r="M51" s="15" t="n"/>
    </row>
    <row r="52">
      <c r="A52" s="15" t="n"/>
      <c r="B52" s="23" t="n"/>
      <c r="C52" s="25" t="n"/>
      <c r="D52" s="28">
        <f>IF(AND($A52="",$B52="",$C52=""),"",IF(OR($C52="",ISNUMBER(SEARCH(",",$C52)),ISNUMBER(SEARCH(" and ",$C52)),ISNUMBER(SEARCH("&amp;",$C52)),ISNUMBER(SEARCH("/",$C52)),ISNUMBER(SEARCH(";",$C52))),"△ Needs one accountable person",IF(AND(Portfolio!$B$7&lt;&gt;"",$E52&lt;&gt;"",$E52&lt;&gt;Portfolio!$B$7),"△ Not recorded by the director","○ Clear")))</f>
        <v/>
      </c>
      <c r="E52" s="25" t="n"/>
      <c r="G52" s="15" t="n"/>
      <c r="H52" s="25" t="n"/>
      <c r="J52" s="15" t="n"/>
      <c r="K52" s="23" t="n"/>
      <c r="L52" s="25" t="n"/>
      <c r="M52" s="15" t="n"/>
    </row>
    <row r="53">
      <c r="A53" s="15" t="n"/>
      <c r="B53" s="23" t="n"/>
      <c r="C53" s="25" t="n"/>
      <c r="D53" s="28">
        <f>IF(AND($A53="",$B53="",$C53=""),"",IF(OR($C53="",ISNUMBER(SEARCH(",",$C53)),ISNUMBER(SEARCH(" and ",$C53)),ISNUMBER(SEARCH("&amp;",$C53)),ISNUMBER(SEARCH("/",$C53)),ISNUMBER(SEARCH(";",$C53))),"△ Needs one accountable person",IF(AND(Portfolio!$B$7&lt;&gt;"",$E53&lt;&gt;"",$E53&lt;&gt;Portfolio!$B$7),"△ Not recorded by the director","○ Clear")))</f>
        <v/>
      </c>
      <c r="E53" s="25" t="n"/>
      <c r="G53" s="15" t="n"/>
      <c r="H53" s="25" t="n"/>
      <c r="J53" s="15" t="n"/>
      <c r="K53" s="23" t="n"/>
      <c r="L53" s="25" t="n"/>
      <c r="M53" s="15" t="n"/>
    </row>
    <row r="54">
      <c r="A54" s="15" t="n"/>
      <c r="B54" s="23" t="n"/>
      <c r="C54" s="25" t="n"/>
      <c r="D54" s="28">
        <f>IF(AND($A54="",$B54="",$C54=""),"",IF(OR($C54="",ISNUMBER(SEARCH(",",$C54)),ISNUMBER(SEARCH(" and ",$C54)),ISNUMBER(SEARCH("&amp;",$C54)),ISNUMBER(SEARCH("/",$C54)),ISNUMBER(SEARCH(";",$C54))),"△ Needs one accountable person",IF(AND(Portfolio!$B$7&lt;&gt;"",$E54&lt;&gt;"",$E54&lt;&gt;Portfolio!$B$7),"△ Not recorded by the director","○ Clear")))</f>
        <v/>
      </c>
      <c r="E54" s="25" t="n"/>
      <c r="G54" s="15" t="n"/>
      <c r="H54" s="25" t="n"/>
      <c r="J54" s="15" t="n"/>
      <c r="K54" s="23" t="n"/>
      <c r="L54" s="25" t="n"/>
      <c r="M54" s="15" t="n"/>
    </row>
    <row r="55">
      <c r="A55" s="15" t="n"/>
      <c r="B55" s="23" t="n"/>
      <c r="C55" s="25" t="n"/>
      <c r="D55" s="28">
        <f>IF(AND($A55="",$B55="",$C55=""),"",IF(OR($C55="",ISNUMBER(SEARCH(",",$C55)),ISNUMBER(SEARCH(" and ",$C55)),ISNUMBER(SEARCH("&amp;",$C55)),ISNUMBER(SEARCH("/",$C55)),ISNUMBER(SEARCH(";",$C55))),"△ Needs one accountable person",IF(AND(Portfolio!$B$7&lt;&gt;"",$E55&lt;&gt;"",$E55&lt;&gt;Portfolio!$B$7),"△ Not recorded by the director","○ Clear")))</f>
        <v/>
      </c>
      <c r="E55" s="25" t="n"/>
      <c r="G55" s="15" t="n"/>
      <c r="H55" s="25" t="n"/>
      <c r="J55" s="15" t="n"/>
      <c r="K55" s="23" t="n"/>
      <c r="L55" s="25" t="n"/>
      <c r="M55" s="15" t="n"/>
    </row>
    <row r="56">
      <c r="A56" s="15" t="n"/>
      <c r="B56" s="23" t="n"/>
      <c r="C56" s="25" t="n"/>
      <c r="D56" s="28">
        <f>IF(AND($A56="",$B56="",$C56=""),"",IF(OR($C56="",ISNUMBER(SEARCH(",",$C56)),ISNUMBER(SEARCH(" and ",$C56)),ISNUMBER(SEARCH("&amp;",$C56)),ISNUMBER(SEARCH("/",$C56)),ISNUMBER(SEARCH(";",$C56))),"△ Needs one accountable person",IF(AND(Portfolio!$B$7&lt;&gt;"",$E56&lt;&gt;"",$E56&lt;&gt;Portfolio!$B$7),"△ Not recorded by the director","○ Clear")))</f>
        <v/>
      </c>
      <c r="E56" s="25" t="n"/>
      <c r="J56" s="15" t="n"/>
      <c r="K56" s="23" t="n"/>
      <c r="L56" s="25" t="n"/>
      <c r="M56" s="15" t="n"/>
    </row>
    <row r="57">
      <c r="A57" s="15" t="n"/>
      <c r="B57" s="23" t="n"/>
      <c r="C57" s="25" t="n"/>
      <c r="D57" s="28">
        <f>IF(AND($A57="",$B57="",$C57=""),"",IF(OR($C57="",ISNUMBER(SEARCH(",",$C57)),ISNUMBER(SEARCH(" and ",$C57)),ISNUMBER(SEARCH("&amp;",$C57)),ISNUMBER(SEARCH("/",$C57)),ISNUMBER(SEARCH(";",$C57))),"△ Needs one accountable person",IF(AND(Portfolio!$B$7&lt;&gt;"",$E57&lt;&gt;"",$E57&lt;&gt;Portfolio!$B$7),"△ Not recorded by the director","○ Clear")))</f>
        <v/>
      </c>
      <c r="E57" s="25" t="n"/>
      <c r="J57" s="15" t="n"/>
      <c r="K57" s="23" t="n"/>
      <c r="L57" s="25" t="n"/>
      <c r="M57" s="15" t="n"/>
    </row>
    <row r="58">
      <c r="A58" s="15" t="n"/>
      <c r="B58" s="23" t="n"/>
      <c r="C58" s="25" t="n"/>
      <c r="D58" s="28">
        <f>IF(AND($A58="",$B58="",$C58=""),"",IF(OR($C58="",ISNUMBER(SEARCH(",",$C58)),ISNUMBER(SEARCH(" and ",$C58)),ISNUMBER(SEARCH("&amp;",$C58)),ISNUMBER(SEARCH("/",$C58)),ISNUMBER(SEARCH(";",$C58))),"△ Needs one accountable person",IF(AND(Portfolio!$B$7&lt;&gt;"",$E58&lt;&gt;"",$E58&lt;&gt;Portfolio!$B$7),"△ Not recorded by the director","○ Clear")))</f>
        <v/>
      </c>
      <c r="E58" s="25" t="n"/>
      <c r="J58" s="15" t="n"/>
      <c r="K58" s="23" t="n"/>
      <c r="L58" s="25" t="n"/>
      <c r="M58" s="15" t="n"/>
    </row>
    <row r="59">
      <c r="A59" s="15" t="n"/>
      <c r="B59" s="23" t="n"/>
      <c r="C59" s="25" t="n"/>
      <c r="D59" s="28">
        <f>IF(AND($A59="",$B59="",$C59=""),"",IF(OR($C59="",ISNUMBER(SEARCH(",",$C59)),ISNUMBER(SEARCH(" and ",$C59)),ISNUMBER(SEARCH("&amp;",$C59)),ISNUMBER(SEARCH("/",$C59)),ISNUMBER(SEARCH(";",$C59))),"△ Needs one accountable person",IF(AND(Portfolio!$B$7&lt;&gt;"",$E59&lt;&gt;"",$E59&lt;&gt;Portfolio!$B$7),"△ Not recorded by the director","○ Clear")))</f>
        <v/>
      </c>
      <c r="E59" s="25" t="n"/>
      <c r="J59" s="15" t="n"/>
      <c r="K59" s="23" t="n"/>
      <c r="L59" s="25" t="n"/>
      <c r="M59" s="15" t="n"/>
    </row>
    <row r="60">
      <c r="A60" s="15" t="n"/>
      <c r="B60" s="23" t="n"/>
      <c r="C60" s="25" t="n"/>
      <c r="D60" s="28">
        <f>IF(AND($A60="",$B60="",$C60=""),"",IF(OR($C60="",ISNUMBER(SEARCH(",",$C60)),ISNUMBER(SEARCH(" and ",$C60)),ISNUMBER(SEARCH("&amp;",$C60)),ISNUMBER(SEARCH("/",$C60)),ISNUMBER(SEARCH(";",$C60))),"△ Needs one accountable person",IF(AND(Portfolio!$B$7&lt;&gt;"",$E60&lt;&gt;"",$E60&lt;&gt;Portfolio!$B$7),"△ Not recorded by the director","○ Clear")))</f>
        <v/>
      </c>
      <c r="E60" s="25" t="n"/>
      <c r="J60" s="15" t="n"/>
      <c r="K60" s="23" t="n"/>
      <c r="L60" s="25" t="n"/>
      <c r="M60" s="15" t="n"/>
    </row>
    <row r="61">
      <c r="A61" s="15" t="n"/>
      <c r="B61" s="23" t="n"/>
      <c r="C61" s="25" t="n"/>
      <c r="D61" s="28">
        <f>IF(AND($A61="",$B61="",$C61=""),"",IF(OR($C61="",ISNUMBER(SEARCH(",",$C61)),ISNUMBER(SEARCH(" and ",$C61)),ISNUMBER(SEARCH("&amp;",$C61)),ISNUMBER(SEARCH("/",$C61)),ISNUMBER(SEARCH(";",$C61))),"△ Needs one accountable person",IF(AND(Portfolio!$B$7&lt;&gt;"",$E61&lt;&gt;"",$E61&lt;&gt;Portfolio!$B$7),"△ Not recorded by the director","○ Clear")))</f>
        <v/>
      </c>
      <c r="E61" s="25" t="n"/>
      <c r="J61" s="15" t="n"/>
      <c r="K61" s="23" t="n"/>
      <c r="L61" s="25" t="n"/>
      <c r="M61" s="15" t="n"/>
    </row>
    <row r="62">
      <c r="A62" s="15" t="n"/>
      <c r="B62" s="23" t="n"/>
      <c r="C62" s="25" t="n"/>
      <c r="D62" s="28">
        <f>IF(AND($A62="",$B62="",$C62=""),"",IF(OR($C62="",ISNUMBER(SEARCH(",",$C62)),ISNUMBER(SEARCH(" and ",$C62)),ISNUMBER(SEARCH("&amp;",$C62)),ISNUMBER(SEARCH("/",$C62)),ISNUMBER(SEARCH(";",$C62))),"△ Needs one accountable person",IF(AND(Portfolio!$B$7&lt;&gt;"",$E62&lt;&gt;"",$E62&lt;&gt;Portfolio!$B$7),"△ Not recorded by the director","○ Clear")))</f>
        <v/>
      </c>
      <c r="E62" s="25" t="n"/>
      <c r="J62" s="15" t="n"/>
      <c r="K62" s="23" t="n"/>
      <c r="L62" s="25" t="n"/>
      <c r="M62" s="15" t="n"/>
    </row>
    <row r="63">
      <c r="A63" s="15" t="n"/>
      <c r="B63" s="23" t="n"/>
      <c r="C63" s="25" t="n"/>
      <c r="D63" s="28">
        <f>IF(AND($A63="",$B63="",$C63=""),"",IF(OR($C63="",ISNUMBER(SEARCH(",",$C63)),ISNUMBER(SEARCH(" and ",$C63)),ISNUMBER(SEARCH("&amp;",$C63)),ISNUMBER(SEARCH("/",$C63)),ISNUMBER(SEARCH(";",$C63))),"△ Needs one accountable person",IF(AND(Portfolio!$B$7&lt;&gt;"",$E63&lt;&gt;"",$E63&lt;&gt;Portfolio!$B$7),"△ Not recorded by the director","○ Clear")))</f>
        <v/>
      </c>
      <c r="E63" s="25" t="n"/>
      <c r="J63" s="15" t="n"/>
      <c r="K63" s="23" t="n"/>
      <c r="L63" s="25" t="n"/>
      <c r="M63" s="15" t="n"/>
    </row>
    <row r="64">
      <c r="A64" s="15" t="n"/>
      <c r="B64" s="23" t="n"/>
      <c r="C64" s="25" t="n"/>
      <c r="D64" s="28">
        <f>IF(AND($A64="",$B64="",$C64=""),"",IF(OR($C64="",ISNUMBER(SEARCH(",",$C64)),ISNUMBER(SEARCH(" and ",$C64)),ISNUMBER(SEARCH("&amp;",$C64)),ISNUMBER(SEARCH("/",$C64)),ISNUMBER(SEARCH(";",$C64))),"△ Needs one accountable person",IF(AND(Portfolio!$B$7&lt;&gt;"",$E64&lt;&gt;"",$E64&lt;&gt;Portfolio!$B$7),"△ Not recorded by the director","○ Clear")))</f>
        <v/>
      </c>
      <c r="E64" s="25" t="n"/>
      <c r="J64" s="15" t="n"/>
      <c r="K64" s="23" t="n"/>
      <c r="L64" s="25" t="n"/>
      <c r="M64" s="15" t="n"/>
    </row>
    <row r="65">
      <c r="A65" s="15" t="n"/>
      <c r="B65" s="23" t="n"/>
      <c r="C65" s="25" t="n"/>
      <c r="D65" s="28">
        <f>IF(AND($A65="",$B65="",$C65=""),"",IF(OR($C65="",ISNUMBER(SEARCH(",",$C65)),ISNUMBER(SEARCH(" and ",$C65)),ISNUMBER(SEARCH("&amp;",$C65)),ISNUMBER(SEARCH("/",$C65)),ISNUMBER(SEARCH(";",$C65))),"△ Needs one accountable person",IF(AND(Portfolio!$B$7&lt;&gt;"",$E65&lt;&gt;"",$E65&lt;&gt;Portfolio!$B$7),"△ Not recorded by the director","○ Clear")))</f>
        <v/>
      </c>
      <c r="E65" s="25" t="n"/>
      <c r="J65" s="15" t="n"/>
      <c r="K65" s="23" t="n"/>
      <c r="L65" s="25" t="n"/>
      <c r="M65" s="15" t="n"/>
    </row>
    <row r="66">
      <c r="A66" s="15" t="n"/>
      <c r="B66" s="23" t="n"/>
      <c r="C66" s="25" t="n"/>
      <c r="D66" s="28">
        <f>IF(AND($A66="",$B66="",$C66=""),"",IF(OR($C66="",ISNUMBER(SEARCH(",",$C66)),ISNUMBER(SEARCH(" and ",$C66)),ISNUMBER(SEARCH("&amp;",$C66)),ISNUMBER(SEARCH("/",$C66)),ISNUMBER(SEARCH(";",$C66))),"△ Needs one accountable person",IF(AND(Portfolio!$B$7&lt;&gt;"",$E66&lt;&gt;"",$E66&lt;&gt;Portfolio!$B$7),"△ Not recorded by the director","○ Clear")))</f>
        <v/>
      </c>
      <c r="E66" s="25" t="n"/>
      <c r="J66" s="15" t="n"/>
      <c r="K66" s="23" t="n"/>
      <c r="L66" s="25" t="n"/>
      <c r="M66" s="15" t="n"/>
    </row>
    <row r="67">
      <c r="A67" s="15" t="n"/>
      <c r="B67" s="23" t="n"/>
      <c r="C67" s="25" t="n"/>
      <c r="D67" s="28">
        <f>IF(AND($A67="",$B67="",$C67=""),"",IF(OR($C67="",ISNUMBER(SEARCH(",",$C67)),ISNUMBER(SEARCH(" and ",$C67)),ISNUMBER(SEARCH("&amp;",$C67)),ISNUMBER(SEARCH("/",$C67)),ISNUMBER(SEARCH(";",$C67))),"△ Needs one accountable person",IF(AND(Portfolio!$B$7&lt;&gt;"",$E67&lt;&gt;"",$E67&lt;&gt;Portfolio!$B$7),"△ Not recorded by the director","○ Clear")))</f>
        <v/>
      </c>
      <c r="E67" s="25" t="n"/>
      <c r="J67" s="15" t="n"/>
      <c r="K67" s="23" t="n"/>
      <c r="L67" s="25" t="n"/>
      <c r="M67" s="15" t="n"/>
    </row>
    <row r="68">
      <c r="A68" s="15" t="n"/>
      <c r="B68" s="23" t="n"/>
      <c r="C68" s="25" t="n"/>
      <c r="D68" s="28">
        <f>IF(AND($A68="",$B68="",$C68=""),"",IF(OR($C68="",ISNUMBER(SEARCH(",",$C68)),ISNUMBER(SEARCH(" and ",$C68)),ISNUMBER(SEARCH("&amp;",$C68)),ISNUMBER(SEARCH("/",$C68)),ISNUMBER(SEARCH(";",$C68))),"△ Needs one accountable person",IF(AND(Portfolio!$B$7&lt;&gt;"",$E68&lt;&gt;"",$E68&lt;&gt;Portfolio!$B$7),"△ Not recorded by the director","○ Clear")))</f>
        <v/>
      </c>
      <c r="E68" s="25" t="n"/>
      <c r="J68" s="15" t="n"/>
      <c r="K68" s="23" t="n"/>
      <c r="L68" s="25" t="n"/>
      <c r="M68" s="15" t="n"/>
    </row>
    <row r="69">
      <c r="A69" s="15" t="n"/>
      <c r="B69" s="23" t="n"/>
      <c r="C69" s="25" t="n"/>
      <c r="D69" s="28">
        <f>IF(AND($A69="",$B69="",$C69=""),"",IF(OR($C69="",ISNUMBER(SEARCH(",",$C69)),ISNUMBER(SEARCH(" and ",$C69)),ISNUMBER(SEARCH("&amp;",$C69)),ISNUMBER(SEARCH("/",$C69)),ISNUMBER(SEARCH(";",$C69))),"△ Needs one accountable person",IF(AND(Portfolio!$B$7&lt;&gt;"",$E69&lt;&gt;"",$E69&lt;&gt;Portfolio!$B$7),"△ Not recorded by the director","○ Clear")))</f>
        <v/>
      </c>
      <c r="E69" s="25" t="n"/>
      <c r="J69" s="15" t="n"/>
      <c r="K69" s="23" t="n"/>
      <c r="L69" s="25" t="n"/>
      <c r="M69" s="15" t="n"/>
    </row>
    <row r="70">
      <c r="A70" s="15" t="n"/>
      <c r="B70" s="23" t="n"/>
      <c r="C70" s="25" t="n"/>
      <c r="D70" s="28">
        <f>IF(AND($A70="",$B70="",$C70=""),"",IF(OR($C70="",ISNUMBER(SEARCH(",",$C70)),ISNUMBER(SEARCH(" and ",$C70)),ISNUMBER(SEARCH("&amp;",$C70)),ISNUMBER(SEARCH("/",$C70)),ISNUMBER(SEARCH(";",$C70))),"△ Needs one accountable person",IF(AND(Portfolio!$B$7&lt;&gt;"",$E70&lt;&gt;"",$E70&lt;&gt;Portfolio!$B$7),"△ Not recorded by the director","○ Clear")))</f>
        <v/>
      </c>
      <c r="E70" s="25" t="n"/>
      <c r="J70" s="15" t="n"/>
      <c r="K70" s="23" t="n"/>
      <c r="L70" s="25" t="n"/>
      <c r="M70" s="15" t="n"/>
    </row>
    <row r="71">
      <c r="A71" s="15" t="n"/>
      <c r="B71" s="23" t="n"/>
      <c r="C71" s="25" t="n"/>
      <c r="D71" s="28">
        <f>IF(AND($A71="",$B71="",$C71=""),"",IF(OR($C71="",ISNUMBER(SEARCH(",",$C71)),ISNUMBER(SEARCH(" and ",$C71)),ISNUMBER(SEARCH("&amp;",$C71)),ISNUMBER(SEARCH("/",$C71)),ISNUMBER(SEARCH(";",$C71))),"△ Needs one accountable person",IF(AND(Portfolio!$B$7&lt;&gt;"",$E71&lt;&gt;"",$E71&lt;&gt;Portfolio!$B$7),"△ Not recorded by the director","○ Clear")))</f>
        <v/>
      </c>
      <c r="E71" s="25" t="n"/>
      <c r="J71" s="15" t="n"/>
      <c r="K71" s="23" t="n"/>
      <c r="L71" s="25" t="n"/>
      <c r="M71" s="15" t="n"/>
    </row>
    <row r="72">
      <c r="A72" s="15" t="n"/>
      <c r="B72" s="23" t="n"/>
      <c r="C72" s="25" t="n"/>
      <c r="D72" s="28">
        <f>IF(AND($A72="",$B72="",$C72=""),"",IF(OR($C72="",ISNUMBER(SEARCH(",",$C72)),ISNUMBER(SEARCH(" and ",$C72)),ISNUMBER(SEARCH("&amp;",$C72)),ISNUMBER(SEARCH("/",$C72)),ISNUMBER(SEARCH(";",$C72))),"△ Needs one accountable person",IF(AND(Portfolio!$B$7&lt;&gt;"",$E72&lt;&gt;"",$E72&lt;&gt;Portfolio!$B$7),"△ Not recorded by the director","○ Clear")))</f>
        <v/>
      </c>
      <c r="E72" s="25" t="n"/>
      <c r="J72" s="15" t="n"/>
      <c r="K72" s="23" t="n"/>
      <c r="L72" s="25" t="n"/>
      <c r="M72" s="15" t="n"/>
    </row>
    <row r="73">
      <c r="A73" s="15" t="n"/>
      <c r="B73" s="23" t="n"/>
      <c r="C73" s="25" t="n"/>
      <c r="D73" s="28">
        <f>IF(AND($A73="",$B73="",$C73=""),"",IF(OR($C73="",ISNUMBER(SEARCH(",",$C73)),ISNUMBER(SEARCH(" and ",$C73)),ISNUMBER(SEARCH("&amp;",$C73)),ISNUMBER(SEARCH("/",$C73)),ISNUMBER(SEARCH(";",$C73))),"△ Needs one accountable person",IF(AND(Portfolio!$B$7&lt;&gt;"",$E73&lt;&gt;"",$E73&lt;&gt;Portfolio!$B$7),"△ Not recorded by the director","○ Clear")))</f>
        <v/>
      </c>
      <c r="E73" s="25" t="n"/>
      <c r="J73" s="15" t="n"/>
      <c r="K73" s="23" t="n"/>
      <c r="L73" s="25" t="n"/>
      <c r="M73" s="15" t="n"/>
    </row>
    <row r="74">
      <c r="A74" s="15" t="n"/>
      <c r="B74" s="23" t="n"/>
      <c r="C74" s="25" t="n"/>
      <c r="D74" s="28">
        <f>IF(AND($A74="",$B74="",$C74=""),"",IF(OR($C74="",ISNUMBER(SEARCH(",",$C74)),ISNUMBER(SEARCH(" and ",$C74)),ISNUMBER(SEARCH("&amp;",$C74)),ISNUMBER(SEARCH("/",$C74)),ISNUMBER(SEARCH(";",$C74))),"△ Needs one accountable person",IF(AND(Portfolio!$B$7&lt;&gt;"",$E74&lt;&gt;"",$E74&lt;&gt;Portfolio!$B$7),"△ Not recorded by the director","○ Clear")))</f>
        <v/>
      </c>
      <c r="E74" s="25" t="n"/>
      <c r="J74" s="15" t="n"/>
      <c r="K74" s="23" t="n"/>
      <c r="L74" s="25" t="n"/>
      <c r="M74" s="15" t="n"/>
    </row>
    <row r="75">
      <c r="A75" s="15" t="n"/>
      <c r="B75" s="23" t="n"/>
      <c r="C75" s="25" t="n"/>
      <c r="D75" s="28">
        <f>IF(AND($A75="",$B75="",$C75=""),"",IF(OR($C75="",ISNUMBER(SEARCH(",",$C75)),ISNUMBER(SEARCH(" and ",$C75)),ISNUMBER(SEARCH("&amp;",$C75)),ISNUMBER(SEARCH("/",$C75)),ISNUMBER(SEARCH(";",$C75))),"△ Needs one accountable person",IF(AND(Portfolio!$B$7&lt;&gt;"",$E75&lt;&gt;"",$E75&lt;&gt;Portfolio!$B$7),"△ Not recorded by the director","○ Clear")))</f>
        <v/>
      </c>
      <c r="E75" s="25" t="n"/>
      <c r="J75" s="15" t="n"/>
      <c r="K75" s="23" t="n"/>
      <c r="L75" s="25" t="n"/>
      <c r="M75" s="15" t="n"/>
    </row>
    <row r="76">
      <c r="A76" s="15" t="n"/>
      <c r="B76" s="23" t="n"/>
      <c r="C76" s="25" t="n"/>
      <c r="D76" s="28">
        <f>IF(AND($A76="",$B76="",$C76=""),"",IF(OR($C76="",ISNUMBER(SEARCH(",",$C76)),ISNUMBER(SEARCH(" and ",$C76)),ISNUMBER(SEARCH("&amp;",$C76)),ISNUMBER(SEARCH("/",$C76)),ISNUMBER(SEARCH(";",$C76))),"△ Needs one accountable person",IF(AND(Portfolio!$B$7&lt;&gt;"",$E76&lt;&gt;"",$E76&lt;&gt;Portfolio!$B$7),"△ Not recorded by the director","○ Clear")))</f>
        <v/>
      </c>
      <c r="E76" s="25" t="n"/>
      <c r="J76" s="15" t="n"/>
      <c r="K76" s="23" t="n"/>
      <c r="L76" s="25" t="n"/>
      <c r="M76" s="15" t="n"/>
    </row>
    <row r="77">
      <c r="A77" s="15" t="n"/>
      <c r="B77" s="23" t="n"/>
      <c r="C77" s="25" t="n"/>
      <c r="D77" s="28">
        <f>IF(AND($A77="",$B77="",$C77=""),"",IF(OR($C77="",ISNUMBER(SEARCH(",",$C77)),ISNUMBER(SEARCH(" and ",$C77)),ISNUMBER(SEARCH("&amp;",$C77)),ISNUMBER(SEARCH("/",$C77)),ISNUMBER(SEARCH(";",$C77))),"△ Needs one accountable person",IF(AND(Portfolio!$B$7&lt;&gt;"",$E77&lt;&gt;"",$E77&lt;&gt;Portfolio!$B$7),"△ Not recorded by the director","○ Clear")))</f>
        <v/>
      </c>
      <c r="E77" s="25" t="n"/>
      <c r="J77" s="15" t="n"/>
      <c r="K77" s="23" t="n"/>
      <c r="L77" s="25" t="n"/>
      <c r="M77" s="15" t="n"/>
    </row>
    <row r="78">
      <c r="A78" s="15" t="n"/>
      <c r="B78" s="23" t="n"/>
      <c r="C78" s="25" t="n"/>
      <c r="D78" s="28">
        <f>IF(AND($A78="",$B78="",$C78=""),"",IF(OR($C78="",ISNUMBER(SEARCH(",",$C78)),ISNUMBER(SEARCH(" and ",$C78)),ISNUMBER(SEARCH("&amp;",$C78)),ISNUMBER(SEARCH("/",$C78)),ISNUMBER(SEARCH(";",$C78))),"△ Needs one accountable person",IF(AND(Portfolio!$B$7&lt;&gt;"",$E78&lt;&gt;"",$E78&lt;&gt;Portfolio!$B$7),"△ Not recorded by the director","○ Clear")))</f>
        <v/>
      </c>
      <c r="E78" s="25" t="n"/>
      <c r="J78" s="15" t="n"/>
      <c r="K78" s="23" t="n"/>
      <c r="L78" s="25" t="n"/>
      <c r="M78" s="15" t="n"/>
    </row>
    <row r="79">
      <c r="A79" s="15" t="n"/>
      <c r="B79" s="23" t="n"/>
      <c r="C79" s="25" t="n"/>
      <c r="D79" s="28">
        <f>IF(AND($A79="",$B79="",$C79=""),"",IF(OR($C79="",ISNUMBER(SEARCH(",",$C79)),ISNUMBER(SEARCH(" and ",$C79)),ISNUMBER(SEARCH("&amp;",$C79)),ISNUMBER(SEARCH("/",$C79)),ISNUMBER(SEARCH(";",$C79))),"△ Needs one accountable person",IF(AND(Portfolio!$B$7&lt;&gt;"",$E79&lt;&gt;"",$E79&lt;&gt;Portfolio!$B$7),"△ Not recorded by the director","○ Clear")))</f>
        <v/>
      </c>
      <c r="E79" s="25" t="n"/>
      <c r="J79" s="15" t="n"/>
      <c r="K79" s="23" t="n"/>
      <c r="L79" s="25" t="n"/>
      <c r="M79" s="15" t="n"/>
    </row>
    <row r="80">
      <c r="A80" s="15" t="n"/>
      <c r="B80" s="23" t="n"/>
      <c r="C80" s="25" t="n"/>
      <c r="D80" s="28">
        <f>IF(AND($A80="",$B80="",$C80=""),"",IF(OR($C80="",ISNUMBER(SEARCH(",",$C80)),ISNUMBER(SEARCH(" and ",$C80)),ISNUMBER(SEARCH("&amp;",$C80)),ISNUMBER(SEARCH("/",$C80)),ISNUMBER(SEARCH(";",$C80))),"△ Needs one accountable person",IF(AND(Portfolio!$B$7&lt;&gt;"",$E80&lt;&gt;"",$E80&lt;&gt;Portfolio!$B$7),"△ Not recorded by the director","○ Clear")))</f>
        <v/>
      </c>
      <c r="E80" s="25" t="n"/>
      <c r="J80" s="15" t="n"/>
      <c r="K80" s="23" t="n"/>
      <c r="L80" s="25" t="n"/>
      <c r="M80" s="15" t="n"/>
    </row>
    <row r="81">
      <c r="A81" s="15" t="n"/>
      <c r="B81" s="23" t="n"/>
      <c r="C81" s="25" t="n"/>
      <c r="D81" s="28">
        <f>IF(AND($A81="",$B81="",$C81=""),"",IF(OR($C81="",ISNUMBER(SEARCH(",",$C81)),ISNUMBER(SEARCH(" and ",$C81)),ISNUMBER(SEARCH("&amp;",$C81)),ISNUMBER(SEARCH("/",$C81)),ISNUMBER(SEARCH(";",$C81))),"△ Needs one accountable person",IF(AND(Portfolio!$B$7&lt;&gt;"",$E81&lt;&gt;"",$E81&lt;&gt;Portfolio!$B$7),"△ Not recorded by the director","○ Clear")))</f>
        <v/>
      </c>
      <c r="E81" s="25" t="n"/>
      <c r="J81" s="15" t="n"/>
      <c r="K81" s="23" t="n"/>
      <c r="L81" s="25" t="n"/>
      <c r="M81" s="15" t="n"/>
    </row>
    <row r="82">
      <c r="A82" s="15" t="n"/>
      <c r="B82" s="23" t="n"/>
      <c r="C82" s="25" t="n"/>
      <c r="D82" s="28">
        <f>IF(AND($A82="",$B82="",$C82=""),"",IF(OR($C82="",ISNUMBER(SEARCH(",",$C82)),ISNUMBER(SEARCH(" and ",$C82)),ISNUMBER(SEARCH("&amp;",$C82)),ISNUMBER(SEARCH("/",$C82)),ISNUMBER(SEARCH(";",$C82))),"△ Needs one accountable person",IF(AND(Portfolio!$B$7&lt;&gt;"",$E82&lt;&gt;"",$E82&lt;&gt;Portfolio!$B$7),"△ Not recorded by the director","○ Clear")))</f>
        <v/>
      </c>
      <c r="E82" s="25" t="n"/>
      <c r="J82" s="15" t="n"/>
      <c r="K82" s="23" t="n"/>
      <c r="L82" s="25" t="n"/>
      <c r="M82" s="15" t="n"/>
    </row>
    <row r="83">
      <c r="A83" s="15" t="n"/>
      <c r="B83" s="23" t="n"/>
      <c r="C83" s="25" t="n"/>
      <c r="D83" s="28">
        <f>IF(AND($A83="",$B83="",$C83=""),"",IF(OR($C83="",ISNUMBER(SEARCH(",",$C83)),ISNUMBER(SEARCH(" and ",$C83)),ISNUMBER(SEARCH("&amp;",$C83)),ISNUMBER(SEARCH("/",$C83)),ISNUMBER(SEARCH(";",$C83))),"△ Needs one accountable person",IF(AND(Portfolio!$B$7&lt;&gt;"",$E83&lt;&gt;"",$E83&lt;&gt;Portfolio!$B$7),"△ Not recorded by the director","○ Clear")))</f>
        <v/>
      </c>
      <c r="E83" s="25" t="n"/>
      <c r="J83" s="15" t="n"/>
      <c r="K83" s="23" t="n"/>
      <c r="L83" s="25" t="n"/>
      <c r="M83" s="15" t="n"/>
    </row>
    <row r="84">
      <c r="A84" s="15" t="n"/>
      <c r="B84" s="23" t="n"/>
      <c r="C84" s="25" t="n"/>
      <c r="D84" s="28">
        <f>IF(AND($A84="",$B84="",$C84=""),"",IF(OR($C84="",ISNUMBER(SEARCH(",",$C84)),ISNUMBER(SEARCH(" and ",$C84)),ISNUMBER(SEARCH("&amp;",$C84)),ISNUMBER(SEARCH("/",$C84)),ISNUMBER(SEARCH(";",$C84))),"△ Needs one accountable person",IF(AND(Portfolio!$B$7&lt;&gt;"",$E84&lt;&gt;"",$E84&lt;&gt;Portfolio!$B$7),"△ Not recorded by the director","○ Clear")))</f>
        <v/>
      </c>
      <c r="E84" s="25" t="n"/>
      <c r="J84" s="15" t="n"/>
      <c r="K84" s="23" t="n"/>
      <c r="L84" s="25" t="n"/>
      <c r="M84" s="15" t="n"/>
    </row>
    <row r="85">
      <c r="A85" s="15" t="n"/>
      <c r="B85" s="23" t="n"/>
      <c r="C85" s="25" t="n"/>
      <c r="D85" s="28">
        <f>IF(AND($A85="",$B85="",$C85=""),"",IF(OR($C85="",ISNUMBER(SEARCH(",",$C85)),ISNUMBER(SEARCH(" and ",$C85)),ISNUMBER(SEARCH("&amp;",$C85)),ISNUMBER(SEARCH("/",$C85)),ISNUMBER(SEARCH(";",$C85))),"△ Needs one accountable person",IF(AND(Portfolio!$B$7&lt;&gt;"",$E85&lt;&gt;"",$E85&lt;&gt;Portfolio!$B$7),"△ Not recorded by the director","○ Clear")))</f>
        <v/>
      </c>
      <c r="E85" s="25" t="n"/>
      <c r="J85" s="15" t="n"/>
      <c r="K85" s="23" t="n"/>
      <c r="L85" s="25" t="n"/>
      <c r="M85" s="15" t="n"/>
    </row>
    <row r="86">
      <c r="A86" s="15" t="n"/>
      <c r="B86" s="23" t="n"/>
      <c r="C86" s="25" t="n"/>
      <c r="D86" s="28">
        <f>IF(AND($A86="",$B86="",$C86=""),"",IF(OR($C86="",ISNUMBER(SEARCH(",",$C86)),ISNUMBER(SEARCH(" and ",$C86)),ISNUMBER(SEARCH("&amp;",$C86)),ISNUMBER(SEARCH("/",$C86)),ISNUMBER(SEARCH(";",$C86))),"△ Needs one accountable person",IF(AND(Portfolio!$B$7&lt;&gt;"",$E86&lt;&gt;"",$E86&lt;&gt;Portfolio!$B$7),"△ Not recorded by the director","○ Clear")))</f>
        <v/>
      </c>
      <c r="E86" s="25" t="n"/>
      <c r="J86" s="15" t="n"/>
      <c r="K86" s="23" t="n"/>
      <c r="L86" s="25" t="n"/>
      <c r="M86" s="15" t="n"/>
    </row>
    <row r="87">
      <c r="A87" s="15" t="n"/>
      <c r="B87" s="23" t="n"/>
      <c r="C87" s="25" t="n"/>
      <c r="D87" s="28">
        <f>IF(AND($A87="",$B87="",$C87=""),"",IF(OR($C87="",ISNUMBER(SEARCH(",",$C87)),ISNUMBER(SEARCH(" and ",$C87)),ISNUMBER(SEARCH("&amp;",$C87)),ISNUMBER(SEARCH("/",$C87)),ISNUMBER(SEARCH(";",$C87))),"△ Needs one accountable person",IF(AND(Portfolio!$B$7&lt;&gt;"",$E87&lt;&gt;"",$E87&lt;&gt;Portfolio!$B$7),"△ Not recorded by the director","○ Clear")))</f>
        <v/>
      </c>
      <c r="E87" s="25" t="n"/>
      <c r="J87" s="15" t="n"/>
      <c r="K87" s="23" t="n"/>
      <c r="L87" s="25" t="n"/>
      <c r="M87" s="15" t="n"/>
    </row>
    <row r="88">
      <c r="A88" s="15" t="n"/>
      <c r="B88" s="23" t="n"/>
      <c r="C88" s="25" t="n"/>
      <c r="D88" s="28">
        <f>IF(AND($A88="",$B88="",$C88=""),"",IF(OR($C88="",ISNUMBER(SEARCH(",",$C88)),ISNUMBER(SEARCH(" and ",$C88)),ISNUMBER(SEARCH("&amp;",$C88)),ISNUMBER(SEARCH("/",$C88)),ISNUMBER(SEARCH(";",$C88))),"△ Needs one accountable person",IF(AND(Portfolio!$B$7&lt;&gt;"",$E88&lt;&gt;"",$E88&lt;&gt;Portfolio!$B$7),"△ Not recorded by the director","○ Clear")))</f>
        <v/>
      </c>
      <c r="E88" s="25" t="n"/>
      <c r="J88" s="15" t="n"/>
      <c r="K88" s="23" t="n"/>
      <c r="L88" s="25" t="n"/>
      <c r="M88" s="15" t="n"/>
    </row>
    <row r="89">
      <c r="A89" s="15" t="n"/>
      <c r="B89" s="23" t="n"/>
      <c r="C89" s="25" t="n"/>
      <c r="D89" s="28">
        <f>IF(AND($A89="",$B89="",$C89=""),"",IF(OR($C89="",ISNUMBER(SEARCH(",",$C89)),ISNUMBER(SEARCH(" and ",$C89)),ISNUMBER(SEARCH("&amp;",$C89)),ISNUMBER(SEARCH("/",$C89)),ISNUMBER(SEARCH(";",$C89))),"△ Needs one accountable person",IF(AND(Portfolio!$B$7&lt;&gt;"",$E89&lt;&gt;"",$E89&lt;&gt;Portfolio!$B$7),"△ Not recorded by the director","○ Clear")))</f>
        <v/>
      </c>
      <c r="E89" s="25" t="n"/>
      <c r="J89" s="15" t="n"/>
      <c r="K89" s="23" t="n"/>
      <c r="L89" s="25" t="n"/>
      <c r="M89" s="15" t="n"/>
    </row>
    <row r="90">
      <c r="A90" s="15" t="n"/>
      <c r="B90" s="23" t="n"/>
      <c r="C90" s="25" t="n"/>
      <c r="D90" s="28">
        <f>IF(AND($A90="",$B90="",$C90=""),"",IF(OR($C90="",ISNUMBER(SEARCH(",",$C90)),ISNUMBER(SEARCH(" and ",$C90)),ISNUMBER(SEARCH("&amp;",$C90)),ISNUMBER(SEARCH("/",$C90)),ISNUMBER(SEARCH(";",$C90))),"△ Needs one accountable person",IF(AND(Portfolio!$B$7&lt;&gt;"",$E90&lt;&gt;"",$E90&lt;&gt;Portfolio!$B$7),"△ Not recorded by the director","○ Clear")))</f>
        <v/>
      </c>
      <c r="E90" s="25" t="n"/>
      <c r="J90" s="15" t="n"/>
      <c r="K90" s="23" t="n"/>
      <c r="L90" s="25" t="n"/>
      <c r="M90" s="15" t="n"/>
    </row>
    <row r="91">
      <c r="A91" s="15" t="n"/>
      <c r="B91" s="23" t="n"/>
      <c r="C91" s="25" t="n"/>
      <c r="D91" s="28">
        <f>IF(AND($A91="",$B91="",$C91=""),"",IF(OR($C91="",ISNUMBER(SEARCH(",",$C91)),ISNUMBER(SEARCH(" and ",$C91)),ISNUMBER(SEARCH("&amp;",$C91)),ISNUMBER(SEARCH("/",$C91)),ISNUMBER(SEARCH(";",$C91))),"△ Needs one accountable person",IF(AND(Portfolio!$B$7&lt;&gt;"",$E91&lt;&gt;"",$E91&lt;&gt;Portfolio!$B$7),"△ Not recorded by the director","○ Clear")))</f>
        <v/>
      </c>
      <c r="E91" s="25" t="n"/>
      <c r="J91" s="15" t="n"/>
      <c r="K91" s="23" t="n"/>
      <c r="L91" s="25" t="n"/>
      <c r="M91" s="15" t="n"/>
    </row>
    <row r="92">
      <c r="A92" s="15" t="n"/>
      <c r="B92" s="23" t="n"/>
      <c r="C92" s="25" t="n"/>
      <c r="D92" s="28">
        <f>IF(AND($A92="",$B92="",$C92=""),"",IF(OR($C92="",ISNUMBER(SEARCH(",",$C92)),ISNUMBER(SEARCH(" and ",$C92)),ISNUMBER(SEARCH("&amp;",$C92)),ISNUMBER(SEARCH("/",$C92)),ISNUMBER(SEARCH(";",$C92))),"△ Needs one accountable person",IF(AND(Portfolio!$B$7&lt;&gt;"",$E92&lt;&gt;"",$E92&lt;&gt;Portfolio!$B$7),"△ Not recorded by the director","○ Clear")))</f>
        <v/>
      </c>
      <c r="E92" s="25" t="n"/>
      <c r="J92" s="15" t="n"/>
      <c r="K92" s="23" t="n"/>
      <c r="L92" s="25" t="n"/>
      <c r="M92" s="15" t="n"/>
    </row>
    <row r="93">
      <c r="A93" s="15" t="n"/>
      <c r="B93" s="23" t="n"/>
      <c r="C93" s="25" t="n"/>
      <c r="D93" s="28">
        <f>IF(AND($A93="",$B93="",$C93=""),"",IF(OR($C93="",ISNUMBER(SEARCH(",",$C93)),ISNUMBER(SEARCH(" and ",$C93)),ISNUMBER(SEARCH("&amp;",$C93)),ISNUMBER(SEARCH("/",$C93)),ISNUMBER(SEARCH(";",$C93))),"△ Needs one accountable person",IF(AND(Portfolio!$B$7&lt;&gt;"",$E93&lt;&gt;"",$E93&lt;&gt;Portfolio!$B$7),"△ Not recorded by the director","○ Clear")))</f>
        <v/>
      </c>
      <c r="E93" s="25" t="n"/>
      <c r="J93" s="15" t="n"/>
      <c r="K93" s="23" t="n"/>
      <c r="L93" s="25" t="n"/>
      <c r="M93" s="15" t="n"/>
    </row>
    <row r="94">
      <c r="A94" s="15" t="n"/>
      <c r="B94" s="23" t="n"/>
      <c r="C94" s="25" t="n"/>
      <c r="D94" s="28">
        <f>IF(AND($A94="",$B94="",$C94=""),"",IF(OR($C94="",ISNUMBER(SEARCH(",",$C94)),ISNUMBER(SEARCH(" and ",$C94)),ISNUMBER(SEARCH("&amp;",$C94)),ISNUMBER(SEARCH("/",$C94)),ISNUMBER(SEARCH(";",$C94))),"△ Needs one accountable person",IF(AND(Portfolio!$B$7&lt;&gt;"",$E94&lt;&gt;"",$E94&lt;&gt;Portfolio!$B$7),"△ Not recorded by the director","○ Clear")))</f>
        <v/>
      </c>
      <c r="E94" s="25" t="n"/>
      <c r="J94" s="15" t="n"/>
      <c r="K94" s="23" t="n"/>
      <c r="L94" s="25" t="n"/>
      <c r="M94" s="15" t="n"/>
    </row>
    <row r="95">
      <c r="A95" s="15" t="n"/>
      <c r="B95" s="23" t="n"/>
      <c r="C95" s="25" t="n"/>
      <c r="D95" s="28">
        <f>IF(AND($A95="",$B95="",$C95=""),"",IF(OR($C95="",ISNUMBER(SEARCH(",",$C95)),ISNUMBER(SEARCH(" and ",$C95)),ISNUMBER(SEARCH("&amp;",$C95)),ISNUMBER(SEARCH("/",$C95)),ISNUMBER(SEARCH(";",$C95))),"△ Needs one accountable person",IF(AND(Portfolio!$B$7&lt;&gt;"",$E95&lt;&gt;"",$E95&lt;&gt;Portfolio!$B$7),"△ Not recorded by the director","○ Clear")))</f>
        <v/>
      </c>
      <c r="E95" s="25" t="n"/>
      <c r="J95" s="15" t="n"/>
      <c r="K95" s="23" t="n"/>
      <c r="L95" s="25" t="n"/>
      <c r="M95" s="15" t="n"/>
    </row>
    <row r="96">
      <c r="A96" s="15" t="n"/>
      <c r="B96" s="23" t="n"/>
      <c r="C96" s="25" t="n"/>
      <c r="D96" s="28">
        <f>IF(AND($A96="",$B96="",$C96=""),"",IF(OR($C96="",ISNUMBER(SEARCH(",",$C96)),ISNUMBER(SEARCH(" and ",$C96)),ISNUMBER(SEARCH("&amp;",$C96)),ISNUMBER(SEARCH("/",$C96)),ISNUMBER(SEARCH(";",$C96))),"△ Needs one accountable person",IF(AND(Portfolio!$B$7&lt;&gt;"",$E96&lt;&gt;"",$E96&lt;&gt;Portfolio!$B$7),"△ Not recorded by the director","○ Clear")))</f>
        <v/>
      </c>
      <c r="E96" s="25" t="n"/>
      <c r="J96" s="15" t="n"/>
      <c r="K96" s="23" t="n"/>
      <c r="L96" s="25" t="n"/>
      <c r="M96" s="15" t="n"/>
    </row>
    <row r="97">
      <c r="A97" s="15" t="n"/>
      <c r="B97" s="23" t="n"/>
      <c r="C97" s="25" t="n"/>
      <c r="D97" s="28">
        <f>IF(AND($A97="",$B97="",$C97=""),"",IF(OR($C97="",ISNUMBER(SEARCH(",",$C97)),ISNUMBER(SEARCH(" and ",$C97)),ISNUMBER(SEARCH("&amp;",$C97)),ISNUMBER(SEARCH("/",$C97)),ISNUMBER(SEARCH(";",$C97))),"△ Needs one accountable person",IF(AND(Portfolio!$B$7&lt;&gt;"",$E97&lt;&gt;"",$E97&lt;&gt;Portfolio!$B$7),"△ Not recorded by the director","○ Clear")))</f>
        <v/>
      </c>
      <c r="E97" s="25" t="n"/>
      <c r="J97" s="15" t="n"/>
      <c r="K97" s="23" t="n"/>
      <c r="L97" s="25" t="n"/>
      <c r="M97" s="15" t="n"/>
    </row>
    <row r="98">
      <c r="A98" s="15" t="n"/>
      <c r="B98" s="23" t="n"/>
      <c r="C98" s="25" t="n"/>
      <c r="D98" s="28">
        <f>IF(AND($A98="",$B98="",$C98=""),"",IF(OR($C98="",ISNUMBER(SEARCH(",",$C98)),ISNUMBER(SEARCH(" and ",$C98)),ISNUMBER(SEARCH("&amp;",$C98)),ISNUMBER(SEARCH("/",$C98)),ISNUMBER(SEARCH(";",$C98))),"△ Needs one accountable person",IF(AND(Portfolio!$B$7&lt;&gt;"",$E98&lt;&gt;"",$E98&lt;&gt;Portfolio!$B$7),"△ Not recorded by the director","○ Clear")))</f>
        <v/>
      </c>
      <c r="E98" s="25" t="n"/>
      <c r="J98" s="15" t="n"/>
      <c r="K98" s="23" t="n"/>
      <c r="L98" s="25" t="n"/>
      <c r="M98" s="15" t="n"/>
    </row>
    <row r="99">
      <c r="A99" s="15" t="n"/>
      <c r="B99" s="23" t="n"/>
      <c r="C99" s="25" t="n"/>
      <c r="D99" s="28">
        <f>IF(AND($A99="",$B99="",$C99=""),"",IF(OR($C99="",ISNUMBER(SEARCH(",",$C99)),ISNUMBER(SEARCH(" and ",$C99)),ISNUMBER(SEARCH("&amp;",$C99)),ISNUMBER(SEARCH("/",$C99)),ISNUMBER(SEARCH(";",$C99))),"△ Needs one accountable person",IF(AND(Portfolio!$B$7&lt;&gt;"",$E99&lt;&gt;"",$E99&lt;&gt;Portfolio!$B$7),"△ Not recorded by the director","○ Clear")))</f>
        <v/>
      </c>
      <c r="E99" s="25" t="n"/>
      <c r="J99" s="15" t="n"/>
      <c r="K99" s="23" t="n"/>
      <c r="L99" s="25" t="n"/>
      <c r="M99" s="15" t="n"/>
    </row>
    <row r="100">
      <c r="A100" s="15" t="n"/>
      <c r="B100" s="23" t="n"/>
      <c r="C100" s="25" t="n"/>
      <c r="D100" s="28">
        <f>IF(AND($A100="",$B100="",$C100=""),"",IF(OR($C100="",ISNUMBER(SEARCH(",",$C100)),ISNUMBER(SEARCH(" and ",$C100)),ISNUMBER(SEARCH("&amp;",$C100)),ISNUMBER(SEARCH("/",$C100)),ISNUMBER(SEARCH(";",$C100))),"△ Needs one accountable person",IF(AND(Portfolio!$B$7&lt;&gt;"",$E100&lt;&gt;"",$E100&lt;&gt;Portfolio!$B$7),"△ Not recorded by the director","○ Clear")))</f>
        <v/>
      </c>
      <c r="E100" s="25" t="n"/>
      <c r="J100" s="15" t="n"/>
      <c r="K100" s="23" t="n"/>
      <c r="L100" s="25" t="n"/>
      <c r="M100" s="15" t="n"/>
    </row>
    <row r="101">
      <c r="A101" s="15" t="n"/>
      <c r="B101" s="23" t="n"/>
      <c r="C101" s="25" t="n"/>
      <c r="D101" s="28">
        <f>IF(AND($A101="",$B101="",$C101=""),"",IF(OR($C101="",ISNUMBER(SEARCH(",",$C101)),ISNUMBER(SEARCH(" and ",$C101)),ISNUMBER(SEARCH("&amp;",$C101)),ISNUMBER(SEARCH("/",$C101)),ISNUMBER(SEARCH(";",$C101))),"△ Needs one accountable person",IF(AND(Portfolio!$B$7&lt;&gt;"",$E101&lt;&gt;"",$E101&lt;&gt;Portfolio!$B$7),"△ Not recorded by the director","○ Clear")))</f>
        <v/>
      </c>
      <c r="E101" s="25" t="n"/>
      <c r="J101" s="15" t="n"/>
      <c r="K101" s="23" t="n"/>
      <c r="L101" s="25" t="n"/>
      <c r="M101" s="15" t="n"/>
    </row>
    <row r="102">
      <c r="A102" s="15" t="n"/>
      <c r="B102" s="23" t="n"/>
      <c r="C102" s="25" t="n"/>
      <c r="D102" s="28">
        <f>IF(AND($A102="",$B102="",$C102=""),"",IF(OR($C102="",ISNUMBER(SEARCH(",",$C102)),ISNUMBER(SEARCH(" and ",$C102)),ISNUMBER(SEARCH("&amp;",$C102)),ISNUMBER(SEARCH("/",$C102)),ISNUMBER(SEARCH(";",$C102))),"△ Needs one accountable person",IF(AND(Portfolio!$B$7&lt;&gt;"",$E102&lt;&gt;"",$E102&lt;&gt;Portfolio!$B$7),"△ Not recorded by the director","○ Clear")))</f>
        <v/>
      </c>
      <c r="E102" s="25" t="n"/>
      <c r="J102" s="15" t="n"/>
      <c r="K102" s="23" t="n"/>
      <c r="L102" s="25" t="n"/>
      <c r="M102" s="15" t="n"/>
    </row>
    <row r="103">
      <c r="A103" s="15" t="n"/>
      <c r="B103" s="23" t="n"/>
      <c r="C103" s="25" t="n"/>
      <c r="D103" s="28">
        <f>IF(AND($A103="",$B103="",$C103=""),"",IF(OR($C103="",ISNUMBER(SEARCH(",",$C103)),ISNUMBER(SEARCH(" and ",$C103)),ISNUMBER(SEARCH("&amp;",$C103)),ISNUMBER(SEARCH("/",$C103)),ISNUMBER(SEARCH(";",$C103))),"△ Needs one accountable person",IF(AND(Portfolio!$B$7&lt;&gt;"",$E103&lt;&gt;"",$E103&lt;&gt;Portfolio!$B$7),"△ Not recorded by the director","○ Clear")))</f>
        <v/>
      </c>
      <c r="E103" s="25" t="n"/>
      <c r="J103" s="15" t="n"/>
      <c r="K103" s="23" t="n"/>
      <c r="L103" s="25" t="n"/>
      <c r="M103" s="15" t="n"/>
    </row>
    <row r="104">
      <c r="A104" s="15" t="n"/>
      <c r="B104" s="23" t="n"/>
      <c r="C104" s="25" t="n"/>
      <c r="D104" s="28">
        <f>IF(AND($A104="",$B104="",$C104=""),"",IF(OR($C104="",ISNUMBER(SEARCH(",",$C104)),ISNUMBER(SEARCH(" and ",$C104)),ISNUMBER(SEARCH("&amp;",$C104)),ISNUMBER(SEARCH("/",$C104)),ISNUMBER(SEARCH(";",$C104))),"△ Needs one accountable person",IF(AND(Portfolio!$B$7&lt;&gt;"",$E104&lt;&gt;"",$E104&lt;&gt;Portfolio!$B$7),"△ Not recorded by the director","○ Clear")))</f>
        <v/>
      </c>
      <c r="E104" s="25" t="n"/>
      <c r="J104" s="15" t="n"/>
      <c r="K104" s="23" t="n"/>
      <c r="L104" s="25" t="n"/>
      <c r="M104" s="15" t="n"/>
    </row>
    <row r="105">
      <c r="A105" s="15" t="n"/>
      <c r="B105" s="23" t="n"/>
      <c r="C105" s="25" t="n"/>
      <c r="D105" s="28">
        <f>IF(AND($A105="",$B105="",$C105=""),"",IF(OR($C105="",ISNUMBER(SEARCH(",",$C105)),ISNUMBER(SEARCH(" and ",$C105)),ISNUMBER(SEARCH("&amp;",$C105)),ISNUMBER(SEARCH("/",$C105)),ISNUMBER(SEARCH(";",$C105))),"△ Needs one accountable person",IF(AND(Portfolio!$B$7&lt;&gt;"",$E105&lt;&gt;"",$E105&lt;&gt;Portfolio!$B$7),"△ Not recorded by the director","○ Clear")))</f>
        <v/>
      </c>
      <c r="E105" s="25" t="n"/>
      <c r="J105" s="15" t="n"/>
      <c r="K105" s="23" t="n"/>
      <c r="L105" s="25" t="n"/>
      <c r="M105" s="15" t="n"/>
    </row>
  </sheetData>
  <conditionalFormatting sqref="D6:D105">
    <cfRule type="expression" priority="1" dxfId="1" stopIfTrue="0">
      <formula>LEFT($D6,1)="△"</formula>
    </cfRule>
  </conditionalFormatting>
  <dataValidations count="10">
    <dataValidation sqref="A6:A105" showDropDown="0" showInputMessage="1" showErrorMessage="1" allowBlank="1" errorTitle="Check this entry" error="That date isn't under Meetings. Add the meeting first, or keep the date." promptTitle="Date" prompt="The meeting this was decided at. Pick a date from Meetings." type="list" errorStyle="warning">
      <formula1>$G$6:$G$55</formula1>
    </dataValidation>
    <dataValidation sqref="B6:B105" showDropDown="0" showInputMessage="1" showErrorMessage="0" allowBlank="1" promptTitle="Decision" prompt="What was decided, in a line." errorStyle="stop"/>
    <dataValidation sqref="C6:C105" showDropDown="0" showInputMessage="1" showErrorMessage="0" allowBlank="1" promptTitle="Accountable" prompt="The one person accountable for this decision. One name." errorStyle="stop"/>
    <dataValidation sqref="E6:E105" showDropDown="0" showInputMessage="1" showErrorMessage="0" allowBlank="1" promptTitle="Recorded by" prompt="Who wrote this entry. The director records decisions; until a director is named, anyone can." errorStyle="stop"/>
    <dataValidation sqref="G6:G55" showDropDown="0" showInputMessage="1" showErrorMessage="1" allowBlank="1" errorTitle="Check this entry" error="Type a date, such as 30 Jun 2027." promptTitle="Meeting date" prompt="The day the steering group met." type="date" errorStyle="stop" operator="greaterThan">
      <formula1>36526</formula1>
    </dataValidation>
    <dataValidation sqref="H6:H55" showDropDown="0" showInputMessage="1" showErrorMessage="0" allowBlank="1" promptTitle="Attended" prompt="Who was there." errorStyle="stop"/>
    <dataValidation sqref="J6:J105" showDropDown="0" showInputMessage="1" showErrorMessage="1" allowBlank="1" errorTitle="Check this entry" error="That date isn't under Meetings. Add the meeting first, or keep the date." promptTitle="Meeting date" prompt="The meeting the action came from. Pick a date from Meetings." type="list" errorStyle="warning">
      <formula1>$G$6:$G$55</formula1>
    </dataValidation>
    <dataValidation sqref="K6:K105" showDropDown="0" showInputMessage="1" showErrorMessage="0" allowBlank="1" promptTitle="Action" prompt="What has to be done." errorStyle="stop"/>
    <dataValidation sqref="L6:L105" showDropDown="0" showInputMessage="1" showErrorMessage="0" allowBlank="1" promptTitle="Owner" prompt="The one person who will do it." errorStyle="stop"/>
    <dataValidation sqref="M6:M105" showDropDown="0" showInputMessage="1" showErrorMessage="1" allowBlank="1" errorTitle="Check this entry" error="Type a date, such as 30 Jun 2027." promptTitle="Due" prompt="When it's due. Optional." type="date" errorStyle="stop" operator="greaterThan">
      <formula1>36526</formula1>
    </dataValidation>
  </dataValidations>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C24"/>
  <sheetViews>
    <sheetView showGridLines="0" workbookViewId="0">
      <selection activeCell="A1" sqref="A1"/>
    </sheetView>
  </sheetViews>
  <sheetFormatPr baseColWidth="8" defaultRowHeight="15"/>
  <cols>
    <col width="46" customWidth="1" min="1" max="1"/>
    <col width="60" customWidth="1" min="2" max="2"/>
    <col width="50" customWidth="1" min="3" max="3"/>
  </cols>
  <sheetData>
    <row r="1" ht="36" customHeight="1">
      <c r="B1" s="1" t="inlineStr">
        <is>
          <t>Checks (Example)</t>
        </is>
      </c>
    </row>
    <row r="2" ht="16" customHeight="1">
      <c r="A2" s="2">
        <f>IF(Portfolio!$B$6="","","Portfolio: "&amp;Portfolio!$B$6)</f>
        <v/>
      </c>
    </row>
    <row r="3" ht="18" customHeight="1">
      <c r="A3" s="4" t="inlineStr">
        <is>
          <t>Example. Wexbridge Quill Software and everyone in it are made up. Clear the white cells to start your own.</t>
        </is>
      </c>
      <c r="B3" s="5" t="n"/>
      <c r="C3" s="5" t="n"/>
    </row>
    <row r="4" ht="6" customHeight="1"/>
    <row r="5">
      <c r="A5" s="11" t="inlineStr">
        <is>
          <t>LIMITS FOR RED</t>
        </is>
      </c>
      <c r="B5" s="12" t="n"/>
      <c r="C5" s="12" t="n"/>
    </row>
    <row r="6" ht="30" customHeight="1">
      <c r="A6" s="13" t="inlineStr">
        <is>
          <t>DAYS LATE BEFORE RED, PROJECTS</t>
        </is>
      </c>
      <c r="B6" s="34" t="n">
        <v>5</v>
      </c>
      <c r="C6" s="13" t="inlineStr">
        <is>
          <t>Working days a project may run past its Planned finish before it reads Red. Starts at 5; change it to suit.</t>
        </is>
      </c>
    </row>
    <row r="7" ht="30" customHeight="1">
      <c r="A7" s="13" t="inlineStr">
        <is>
          <t>DAYS LATE BEFORE RED, PROGRAMS</t>
        </is>
      </c>
      <c r="B7" s="34" t="n">
        <v>10</v>
      </c>
      <c r="C7" s="13" t="inlineStr">
        <is>
          <t>Working days a program may run past its Planned finish before it reads Red. Starts at 10.</t>
        </is>
      </c>
    </row>
    <row r="8" ht="30" customHeight="1">
      <c r="A8" s="13" t="inlineStr">
        <is>
          <t>OVER BUDGET BEFORE RED</t>
        </is>
      </c>
      <c r="B8" s="35" t="n">
        <v>0.1</v>
      </c>
      <c r="C8" s="13" t="inlineStr">
        <is>
          <t>How far spend may run over Budget before a row reads Red. A smaller overrun reads Amber. Starts at 10%.</t>
        </is>
      </c>
    </row>
    <row r="10">
      <c r="A10" s="36" t="inlineStr">
        <is>
          <t>ALL CHECKS</t>
        </is>
      </c>
      <c r="B10" s="37">
        <f>COUNTIF($B$13:$B$24,"△*")&amp;" of 12 failing"</f>
        <v/>
      </c>
    </row>
    <row r="12">
      <c r="A12" s="21" t="inlineStr">
        <is>
          <t>Check</t>
        </is>
      </c>
      <c r="B12" s="21" t="inlineStr">
        <is>
          <t>Result</t>
        </is>
      </c>
      <c r="C12" s="21" t="inlineStr">
        <is>
          <t>Where to look</t>
        </is>
      </c>
    </row>
    <row r="13">
      <c r="A13" s="2" t="inlineStr">
        <is>
          <t>A row with no owner</t>
        </is>
      </c>
      <c r="B13" s="28">
        <f>IF(SUM(Register!$AA$6:$AA$305)=0,"○ Clear","△ No owner on "&amp;SUM(Register!$AA$6:$AA$305)&amp;IF(SUM(Register!$AA$6:$AA$305)=1," row"," rows"))</f>
        <v/>
      </c>
      <c r="C13" s="38" t="inlineStr">
        <is>
          <t>Register, Check column</t>
        </is>
      </c>
    </row>
    <row r="14">
      <c r="A14" s="2" t="inlineStr">
        <is>
          <t>A program with no sponsor</t>
        </is>
      </c>
      <c r="B14" s="28">
        <f>IF(SUM(Register!$AB$6:$AB$305)=0,"○ Clear","△ No sponsor on "&amp;SUM(Register!$AB$6:$AB$305)&amp;IF(SUM(Register!$AB$6:$AB$305)=1," program"," programs"))</f>
        <v/>
      </c>
      <c r="C14" s="38" t="inlineStr">
        <is>
          <t>Register, Check column</t>
        </is>
      </c>
    </row>
    <row r="15">
      <c r="A15" s="2" t="inlineStr">
        <is>
          <t>Sits under, or a current row outside the portfolio</t>
        </is>
      </c>
      <c r="B15" s="28">
        <f>IF(COUNTIF(Register!$AC$6:$AC$305,"&gt;0")=0,"○ Clear","△ Check Sits under: "&amp;COUNTIF(Register!$AC$6:$AC$305,1)&amp;". Current rows outside the portfolio: "&amp;COUNTIF(Register!$AC$6:$AC$305,2)&amp;".")</f>
        <v/>
      </c>
      <c r="C15" s="38" t="inlineStr">
        <is>
          <t>Register, Check column</t>
        </is>
      </c>
    </row>
    <row r="16">
      <c r="A16" s="2" t="inlineStr">
        <is>
          <t>Director or manager not named</t>
        </is>
      </c>
      <c r="B16" s="28">
        <f>Portfolio!$B$14</f>
        <v/>
      </c>
      <c r="C16" s="38" t="inlineStr">
        <is>
          <t>Portfolio, People check</t>
        </is>
      </c>
    </row>
    <row r="17">
      <c r="A17" s="2" t="inlineStr">
        <is>
          <t>Budgets over the envelope</t>
        </is>
      </c>
      <c r="B17" s="28">
        <f>Funding!$B$14</f>
        <v/>
      </c>
      <c r="C17" s="38" t="inlineStr">
        <is>
          <t>Funding, Envelope check</t>
        </is>
      </c>
    </row>
    <row r="18">
      <c r="A18" s="2" t="inlineStr">
        <is>
          <t>Budget on a row not directly under Portfolio</t>
        </is>
      </c>
      <c r="B18" s="28">
        <f>IF(SUM(Register!$AG$6:$AG$305)=0,"○ Clear","△ Budget not counted on "&amp;SUM(Register!$AG$6:$AG$305)&amp;IF(SUM(Register!$AG$6:$AG$305)=1," row"," rows"))</f>
        <v/>
      </c>
      <c r="C18" s="38" t="inlineStr">
        <is>
          <t>Register, Check column</t>
        </is>
      </c>
    </row>
    <row r="19">
      <c r="A19" s="2" t="inlineStr">
        <is>
          <t>Review overdue, or no review date</t>
        </is>
      </c>
      <c r="B19" s="28">
        <f>Portfolio!$B$15</f>
        <v/>
      </c>
      <c r="C19" s="38" t="inlineStr">
        <is>
          <t>Portfolio, Review check</t>
        </is>
      </c>
    </row>
    <row r="20">
      <c r="A20" s="2" t="inlineStr">
        <is>
          <t>An objective with no owner</t>
        </is>
      </c>
      <c r="B20" s="28">
        <f>IF(SUMPRODUCT((Portfolio!$A$28:$A$37&lt;&gt;"")*(Portfolio!$B$28:$B$37=""))=0,"○ Clear","△ "&amp;SUMPRODUCT((Portfolio!$A$28:$A$37&lt;&gt;"")*(Portfolio!$B$28:$B$37=""))&amp;IF(SUMPRODUCT((Portfolio!$A$28:$A$37&lt;&gt;"")*(Portfolio!$B$28:$B$37=""))=1," objective"," objectives")&amp;" with no owner")</f>
        <v/>
      </c>
      <c r="C20" s="38" t="inlineStr">
        <is>
          <t>Portfolio, Objectives</t>
        </is>
      </c>
    </row>
    <row r="21">
      <c r="A21" s="2" t="inlineStr">
        <is>
          <t>An Amber or Red row with no variance note</t>
        </is>
      </c>
      <c r="B21" s="28">
        <f>IF(SUM(Register!$AD$6:$AD$305)=0,"○ Clear","△ No variance note on "&amp;SUM(Register!$AD$6:$AD$305)&amp;IF(SUM(Register!$AD$6:$AD$305)=1," row"," rows"))</f>
        <v/>
      </c>
      <c r="C21" s="38" t="inlineStr">
        <is>
          <t>Register, Check column</t>
        </is>
      </c>
    </row>
    <row r="22">
      <c r="A22" s="2" t="inlineStr">
        <is>
          <t>A decision without one accountable person</t>
        </is>
      </c>
      <c r="B22" s="28">
        <f>IF(COUNTIF(Steering!$D$6:$D$105,"△ Needs*")=0,"○ Clear","△ "&amp;COUNTIF(Steering!$D$6:$D$105,"△ Needs*")&amp;IF(COUNTIF(Steering!$D$6:$D$105,"△ Needs*")=1," decision"," decisions")&amp;" without one accountable person")</f>
        <v/>
      </c>
      <c r="C22" s="38" t="inlineStr">
        <is>
          <t>Steering, Decisions</t>
        </is>
      </c>
    </row>
    <row r="23">
      <c r="A23" s="2" t="inlineStr">
        <is>
          <t>A decision not recorded by the director</t>
        </is>
      </c>
      <c r="B23" s="28">
        <f>IF(COUNTIF(Steering!$D$6:$D$105,"△ Not recorded*")=0,"○ Clear","△ "&amp;COUNTIF(Steering!$D$6:$D$105,"△ Not recorded*")&amp;IF(COUNTIF(Steering!$D$6:$D$105,"△ Not recorded*")=1," decision"," decisions")&amp;" not recorded by the director")</f>
        <v/>
      </c>
      <c r="C23" s="38" t="inlineStr">
        <is>
          <t>Steering, Decisions</t>
        </is>
      </c>
    </row>
    <row r="24">
      <c r="A24" s="2" t="inlineStr">
        <is>
          <t>A name used twice</t>
        </is>
      </c>
      <c r="B24" s="28">
        <f>IF(SUM(Register!$AH$6:$AH$305)=0,"○ Clear","△ "&amp;SUM(Register!$AH$6:$AH$305)&amp;" rows share a name")</f>
        <v/>
      </c>
      <c r="C24" s="38" t="inlineStr">
        <is>
          <t>Register, Check column</t>
        </is>
      </c>
    </row>
  </sheetData>
  <conditionalFormatting sqref="B13:B24">
    <cfRule type="expression" priority="1" dxfId="1" stopIfTrue="0">
      <formula>LEFT(B13,1)="△"</formula>
    </cfRule>
  </conditionalFormatting>
  <dataValidations count="2">
    <dataValidation sqref="B6:B7" showDropDown="0" showInputMessage="1" showErrorMessage="1" allowBlank="1" errorTitle="Check this entry" error="Type a whole number of working days, 0 to 365." promptTitle="Days late before Red, projects" prompt="Working days a project may run past its Planned finish before it reads Red. Starts at 5; change it to suit." type="whole" errorStyle="stop" operator="between">
      <formula1>0</formula1>
      <formula2>365</formula2>
    </dataValidation>
    <dataValidation sqref="B8" showDropDown="0" showInputMessage="1" showErrorMessage="1" allowBlank="1" errorTitle="Check this entry" error="Type a percent, such as 10%." promptTitle="Over budget before Red" prompt="How far spend may run over Budget before a row reads Red. A smaller overrun reads Amber. Starts at 10%." type="decimal" errorStyle="stop" operator="between">
      <formula1>0</formula1>
      <formula2>1</formula2>
    </dataValidation>
  </dataValidations>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2026-10-22T23:52:16Z</dcterms:created>
  <dcterms:modified xmlns:dcterms="http://purl.org/dc/terms/" xmlns:xsi="http://www.w3.org/2001/XMLSchema-instance" xsi:type="dcterms:W3CDTF">2026-10-22T23:52:17Z</dcterms:modified>
</cp:coreProperties>
</file>